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'Contacts'!$A$5:$I$50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28" customWidth="1" min="4" max="4"/>
    <col width="32" customWidth="1" min="5" max="5"/>
    <col width="38" customWidth="1" min="6" max="6"/>
    <col width="8" customWidth="1" min="7" max="7"/>
    <col width="48" customWidth="1" min="8" max="8"/>
    <col width="48" customWidth="1" min="9" max="9"/>
  </cols>
  <sheetData>
    <row r="1" ht="26" customHeight="1">
      <c r="A1" s="1" t="inlineStr">
        <is>
          <t>Yappaflow — Turkey Outreach List</t>
        </is>
      </c>
    </row>
    <row r="2" ht="36" customHeight="1">
      <c r="A2" s="2" t="inlineStr">
        <is>
          <t>Agencies, studios, and freelancers in Türkiye who would plausibly buy or partner on Yappaflow. Tier A = direct ICP, B = adjacent / channel, C = strategic / awareness. Emails are best-guess from public domains — verify before sending.</t>
        </is>
      </c>
    </row>
    <row r="3">
      <c r="A3" s="3" t="inlineStr">
        <is>
          <t>Compiled: 2026-04-27  •  Rows: 45</t>
        </is>
      </c>
    </row>
    <row r="5" ht="28" customHeight="1">
      <c r="A5" s="4" t="inlineStr">
        <is>
          <t>Company / Person</t>
        </is>
      </c>
      <c r="B5" s="4" t="inlineStr">
        <is>
          <t>City</t>
        </is>
      </c>
      <c r="C5" s="4" t="inlineStr">
        <is>
          <t>Type</t>
        </is>
      </c>
      <c r="D5" s="4" t="inlineStr">
        <is>
          <t>Email (best guess)</t>
        </is>
      </c>
      <c r="E5" s="4" t="inlineStr">
        <is>
          <t>Website</t>
        </is>
      </c>
      <c r="F5" s="4" t="inlineStr">
        <is>
          <t>LinkedIn</t>
        </is>
      </c>
      <c r="G5" s="4" t="inlineStr">
        <is>
          <t>Fit Tier (A/B/C)</t>
        </is>
      </c>
      <c r="H5" s="4" t="inlineStr">
        <is>
          <t>Why Yappaflow fits</t>
        </is>
      </c>
      <c r="I5" s="4" t="inlineStr">
        <is>
          <t>Outreach angle</t>
        </is>
      </c>
    </row>
    <row r="6">
      <c r="A6" s="5" t="inlineStr">
        <is>
          <t>digimify</t>
        </is>
      </c>
      <c r="B6" s="5" t="inlineStr">
        <is>
          <t>İstanbul</t>
        </is>
      </c>
      <c r="C6" s="5" t="inlineStr">
        <is>
          <t>E-commerce / IKAS Partner</t>
        </is>
      </c>
      <c r="D6" s="5" t="inlineStr">
        <is>
          <t>info@digimify.com</t>
        </is>
      </c>
      <c r="E6" s="5" t="inlineStr">
        <is>
          <t>https://digimify.com</t>
        </is>
      </c>
      <c r="F6" s="5" t="inlineStr">
        <is>
          <t>https://www.linkedin.com/company/digimify</t>
        </is>
      </c>
      <c r="G6" s="6" t="inlineStr">
        <is>
          <t>A</t>
        </is>
      </c>
      <c r="H6" s="5" t="inlineStr">
        <is>
          <t>Official IKAS partner; 8+ yrs e-com migrations. Direct ICP for SiteProject→IKAS adapter.</t>
        </is>
      </c>
      <c r="I6" s="5" t="inlineStr">
        <is>
          <t>Lead via 'cut IKAS store build time 5x with Yappaflow' — show migration demo.</t>
        </is>
      </c>
    </row>
    <row r="7">
      <c r="A7" s="5" t="inlineStr">
        <is>
          <t>YCF Digital</t>
        </is>
      </c>
      <c r="B7" s="5" t="inlineStr">
        <is>
          <t>İstanbul</t>
        </is>
      </c>
      <c r="C7" s="5" t="inlineStr">
        <is>
          <t>E-commerce / IKAS Partner</t>
        </is>
      </c>
      <c r="D7" s="5" t="inlineStr">
        <is>
          <t>info@ycfdigital.com</t>
        </is>
      </c>
      <c r="E7" s="5" t="inlineStr">
        <is>
          <t>https://ycfdigital.com</t>
        </is>
      </c>
      <c r="F7" s="5" t="inlineStr">
        <is>
          <t>https://www.linkedin.com/company/ycf-digital</t>
        </is>
      </c>
      <c r="G7" s="6" t="inlineStr">
        <is>
          <t>A</t>
        </is>
      </c>
      <c r="H7" s="5" t="inlineStr">
        <is>
          <t>Official IKAS partner combining store builds with Meta/Google performance.</t>
        </is>
      </c>
      <c r="I7" s="5" t="inlineStr">
        <is>
          <t>Pitch: AI-generated IKAS sites + Yappaflow brief→site removes their bottleneck.</t>
        </is>
      </c>
    </row>
    <row r="8">
      <c r="A8" s="5" t="inlineStr">
        <is>
          <t>The Social Best</t>
        </is>
      </c>
      <c r="B8" s="5" t="inlineStr">
        <is>
          <t>İstanbul</t>
        </is>
      </c>
      <c r="C8" s="5" t="inlineStr">
        <is>
          <t>E-commerce / IKAS Partner</t>
        </is>
      </c>
      <c r="D8" s="5" t="inlineStr">
        <is>
          <t>hello@thesocialbest.co</t>
        </is>
      </c>
      <c r="E8" s="5" t="inlineStr">
        <is>
          <t>https://www.thesocialbest.co</t>
        </is>
      </c>
      <c r="F8" s="5" t="inlineStr">
        <is>
          <t>https://www.linkedin.com/company/the-social-best</t>
        </is>
      </c>
      <c r="G8" s="6" t="inlineStr">
        <is>
          <t>A</t>
        </is>
      </c>
      <c r="H8" s="5" t="inlineStr">
        <is>
          <t>Official IKAS solution partner — exactly the agency persona in BUILDER-PIVOT.md.</t>
        </is>
      </c>
      <c r="I8" s="5" t="inlineStr">
        <is>
          <t>First-pilot candidate for IKAS adapter.</t>
        </is>
      </c>
    </row>
    <row r="9">
      <c r="A9" s="5" t="inlineStr">
        <is>
          <t>LUMINA</t>
        </is>
      </c>
      <c r="B9" s="5" t="inlineStr">
        <is>
          <t>İstanbul</t>
        </is>
      </c>
      <c r="C9" s="5" t="inlineStr">
        <is>
          <t>Shopify / E-commerce</t>
        </is>
      </c>
      <c r="D9" s="5" t="inlineStr">
        <is>
          <t>hello@luminaagency.com</t>
        </is>
      </c>
      <c r="E9" s="5" t="inlineStr">
        <is>
          <t>https://luminaagency.com</t>
        </is>
      </c>
      <c r="F9" s="5" t="inlineStr">
        <is>
          <t>https://www.linkedin.com/company/luminaagency</t>
        </is>
      </c>
      <c r="G9" s="6" t="inlineStr">
        <is>
          <t>A</t>
        </is>
      </c>
      <c r="H9" s="5" t="inlineStr">
        <is>
          <t>Top-rated TR Shopify shop (~95% positive Clutch). Strong Shopify adapter target.</t>
        </is>
      </c>
      <c r="I9" s="5" t="inlineStr">
        <is>
          <t>Show Shopify export from SiteProject; offer design-system import.</t>
        </is>
      </c>
    </row>
    <row r="10">
      <c r="A10" s="5" t="inlineStr">
        <is>
          <t>Nodus Works</t>
        </is>
      </c>
      <c r="B10" s="5" t="inlineStr">
        <is>
          <t>İstanbul</t>
        </is>
      </c>
      <c r="C10" s="5" t="inlineStr">
        <is>
          <t>Shopify Partner</t>
        </is>
      </c>
      <c r="D10" s="5" t="inlineStr">
        <is>
          <t>hello@nodusworks.com</t>
        </is>
      </c>
      <c r="E10" s="5" t="inlineStr">
        <is>
          <t>https://nodusworks.com/en</t>
        </is>
      </c>
      <c r="F10" s="5" t="inlineStr">
        <is>
          <t>https://www.linkedin.com/company/nodusworks</t>
        </is>
      </c>
      <c r="G10" s="6" t="inlineStr">
        <is>
          <t>A</t>
        </is>
      </c>
      <c r="H10" s="5" t="inlineStr">
        <is>
          <t>200+ Shopify projects, 100+ official reviews. Clear repeat-build pain.</t>
        </is>
      </c>
      <c r="I10" s="5" t="inlineStr">
        <is>
          <t>Lead with throughput: section schemas → Shopify sections in minutes.</t>
        </is>
      </c>
    </row>
    <row r="11">
      <c r="A11" s="5" t="inlineStr">
        <is>
          <t>PATH (Product &amp; Software House)</t>
        </is>
      </c>
      <c r="B11" s="5" t="inlineStr">
        <is>
          <t>İstanbul</t>
        </is>
      </c>
      <c r="C11" s="5" t="inlineStr">
        <is>
          <t>Shopify Plus</t>
        </is>
      </c>
      <c r="D11" s="5" t="inlineStr">
        <is>
          <t>hello@path.com.tr</t>
        </is>
      </c>
      <c r="E11" s="5" t="inlineStr">
        <is>
          <t>https://path.com.tr</t>
        </is>
      </c>
      <c r="F11" s="5" t="inlineStr">
        <is>
          <t>https://www.linkedin.com/company/path-com-tr</t>
        </is>
      </c>
      <c r="G11" s="6" t="inlineStr">
        <is>
          <t>A</t>
        </is>
      </c>
      <c r="H11" s="5" t="inlineStr">
        <is>
          <t>Shopify Plus dev shop; technical buyer that will care about deterministic CMS export.</t>
        </is>
      </c>
      <c r="I11" s="5" t="inlineStr">
        <is>
          <t>Engineer-to-engineer pitch: SiteProject schema, no GPU dependency.</t>
        </is>
      </c>
    </row>
    <row r="12">
      <c r="A12" s="5" t="inlineStr">
        <is>
          <t>Flowtrix</t>
        </is>
      </c>
      <c r="B12" s="5" t="inlineStr">
        <is>
          <t>İstanbul</t>
        </is>
      </c>
      <c r="C12" s="5" t="inlineStr">
        <is>
          <t>Webflow Enterprise Partner</t>
        </is>
      </c>
      <c r="D12" s="5" t="inlineStr">
        <is>
          <t>hello@flowtrix.co</t>
        </is>
      </c>
      <c r="E12" s="5" t="inlineStr">
        <is>
          <t>https://www.flowtrix.co</t>
        </is>
      </c>
      <c r="F12" s="5" t="inlineStr">
        <is>
          <t>https://www.linkedin.com/company/flowtrix</t>
        </is>
      </c>
      <c r="G12" s="6" t="inlineStr">
        <is>
          <t>A</t>
        </is>
      </c>
      <c r="H12" s="5" t="inlineStr">
        <is>
          <t>Webflow Enterprise Partner in İstanbul — primary Webflow adapter persona.</t>
        </is>
      </c>
      <c r="I12" s="5" t="inlineStr">
        <is>
          <t>Lead with Figma→Webflow story; show Yappaflow Webflow CMS export.</t>
        </is>
      </c>
    </row>
    <row r="13">
      <c r="A13" s="5" t="inlineStr">
        <is>
          <t>Veza Digital</t>
        </is>
      </c>
      <c r="B13" s="5" t="inlineStr">
        <is>
          <t>İstanbul / Remote</t>
        </is>
      </c>
      <c r="C13" s="5" t="inlineStr">
        <is>
          <t>Webflow / B2B</t>
        </is>
      </c>
      <c r="D13" s="5" t="inlineStr">
        <is>
          <t>hi@vezadigital.com</t>
        </is>
      </c>
      <c r="E13" s="5" t="inlineStr">
        <is>
          <t>https://www.vezadigital.com</t>
        </is>
      </c>
      <c r="F13" s="5" t="inlineStr">
        <is>
          <t>https://www.linkedin.com/company/veza-digital</t>
        </is>
      </c>
      <c r="G13" s="6" t="inlineStr">
        <is>
          <t>A</t>
        </is>
      </c>
      <c r="H13" s="5" t="inlineStr">
        <is>
          <t>B2B Webflow specialist; AI brief → Webflow site is exactly their wedge.</t>
        </is>
      </c>
      <c r="I13" s="5" t="inlineStr">
        <is>
          <t>Pitch: Yappaflow accelerates discovery &amp; first draft for B2B sites.</t>
        </is>
      </c>
    </row>
    <row r="14">
      <c r="A14" s="5" t="inlineStr">
        <is>
          <t>Ali Tarhan Digital Workshop</t>
        </is>
      </c>
      <c r="B14" s="5" t="inlineStr">
        <is>
          <t>İstanbul</t>
        </is>
      </c>
      <c r="C14" s="5" t="inlineStr">
        <is>
          <t>Boutique design studio</t>
        </is>
      </c>
      <c r="D14" s="5" t="inlineStr">
        <is>
          <t>hello@alitarhan.com</t>
        </is>
      </c>
      <c r="E14" s="5" t="inlineStr">
        <is>
          <t>https://alitarhan.com</t>
        </is>
      </c>
      <c r="F14" s="5" t="inlineStr">
        <is>
          <t>https://www.linkedin.com/in/alitarhan</t>
        </is>
      </c>
      <c r="G14" s="6" t="inlineStr">
        <is>
          <t>A</t>
        </is>
      </c>
      <c r="H14" s="5" t="inlineStr">
        <is>
          <t>Strategy-led minimal digital experiences; high design bar matches yappaflow-ui aesthetic.</t>
        </is>
      </c>
      <c r="I14" s="5" t="inlineStr">
        <is>
          <t>Position as design-aware AI co-pilot, not a template generator.</t>
        </is>
      </c>
    </row>
    <row r="15">
      <c r="A15" s="5" t="inlineStr">
        <is>
          <t>Baht Studio</t>
        </is>
      </c>
      <c r="B15" s="5" t="inlineStr">
        <is>
          <t>İstanbul / London</t>
        </is>
      </c>
      <c r="C15" s="5" t="inlineStr">
        <is>
          <t>Branding + Web</t>
        </is>
      </c>
      <c r="D15" s="5" t="inlineStr">
        <is>
          <t>hello@bahtstudio.com</t>
        </is>
      </c>
      <c r="E15" s="5" t="inlineStr">
        <is>
          <t>https://bahtstudio.com</t>
        </is>
      </c>
      <c r="F15" s="5" t="inlineStr">
        <is>
          <t>https://www.linkedin.com/company/baht-studio</t>
        </is>
      </c>
      <c r="G15" s="7" t="inlineStr">
        <is>
          <t>B</t>
        </is>
      </c>
      <c r="H15" s="5" t="inlineStr">
        <is>
          <t>Branding-first studio that also ships sites; could resell or become design partner.</t>
        </is>
      </c>
      <c r="I15" s="5" t="inlineStr">
        <is>
          <t>Co-marketing angle on 'art-gallery' aesthetic of Yappaflow components.</t>
        </is>
      </c>
    </row>
    <row r="16">
      <c r="A16" s="5" t="inlineStr">
        <is>
          <t>FUHA Studio</t>
        </is>
      </c>
      <c r="B16" s="5" t="inlineStr">
        <is>
          <t>İstanbul</t>
        </is>
      </c>
      <c r="C16" s="5" t="inlineStr">
        <is>
          <t>Design studio</t>
        </is>
      </c>
      <c r="D16" s="5" t="inlineStr">
        <is>
          <t>hello@fuha.studio</t>
        </is>
      </c>
      <c r="E16" s="5" t="inlineStr">
        <is>
          <t>https://fuha.studio</t>
        </is>
      </c>
      <c r="F16" s="5" t="inlineStr">
        <is>
          <t>https://www.linkedin.com/company/fuhastudio</t>
        </is>
      </c>
      <c r="G16" s="7" t="inlineStr">
        <is>
          <t>B</t>
        </is>
      </c>
      <c r="H16" s="5" t="inlineStr">
        <is>
          <t>Brand + product + web; founded 2018. Good fit for SiteProject design-DNA workflow.</t>
        </is>
      </c>
      <c r="I16" s="5" t="inlineStr">
        <is>
          <t>Demo DesignDna extraction from existing brand assets.</t>
        </is>
      </c>
    </row>
    <row r="17">
      <c r="A17" s="5" t="inlineStr">
        <is>
          <t>Makine</t>
        </is>
      </c>
      <c r="B17" s="5" t="inlineStr">
        <is>
          <t>İstanbul / Kiel</t>
        </is>
      </c>
      <c r="C17" s="5" t="inlineStr">
        <is>
          <t>Full-service digital</t>
        </is>
      </c>
      <c r="D17" s="5" t="inlineStr">
        <is>
          <t>hello@makine.co</t>
        </is>
      </c>
      <c r="E17" s="5" t="inlineStr">
        <is>
          <t>https://makine.co</t>
        </is>
      </c>
      <c r="F17" s="5" t="inlineStr">
        <is>
          <t>https://www.linkedin.com/company/makineco</t>
        </is>
      </c>
      <c r="G17" s="6" t="inlineStr">
        <is>
          <t>A</t>
        </is>
      </c>
      <c r="H17" s="5" t="inlineStr">
        <is>
          <t>Cross-border (TR+DE) digital agency; multilingual site output is a real value-add.</t>
        </is>
      </c>
      <c r="I17" s="5" t="inlineStr">
        <is>
          <t>Pitch DE+TR i18n flow on top of SiteProject.</t>
        </is>
      </c>
    </row>
    <row r="18">
      <c r="A18" s="5" t="inlineStr">
        <is>
          <t>Pixelica Interactive</t>
        </is>
      </c>
      <c r="B18" s="5" t="inlineStr">
        <is>
          <t>İstanbul</t>
        </is>
      </c>
      <c r="C18" s="5" t="inlineStr">
        <is>
          <t>Web / E-commerce</t>
        </is>
      </c>
      <c r="D18" s="5" t="inlineStr">
        <is>
          <t>info@pixelica.com.tr</t>
        </is>
      </c>
      <c r="E18" s="5" t="inlineStr">
        <is>
          <t>https://pixelica.com.tr</t>
        </is>
      </c>
      <c r="F18" s="5" t="inlineStr">
        <is>
          <t>https://www.linkedin.com/company/pixelica-interactive</t>
        </is>
      </c>
      <c r="G18" s="6" t="inlineStr">
        <is>
          <t>A</t>
        </is>
      </c>
      <c r="H18" s="5" t="inlineStr">
        <is>
          <t>15+ yrs, broad client base — repeat-build economics are their pain.</t>
        </is>
      </c>
      <c r="I18" s="5" t="inlineStr">
        <is>
          <t>ROI angle: minutes-to-first-draft on Shopify + WordPress.</t>
        </is>
      </c>
    </row>
    <row r="19">
      <c r="A19" s="5" t="inlineStr">
        <is>
          <t>Sentez Bilişim</t>
        </is>
      </c>
      <c r="B19" s="5" t="inlineStr">
        <is>
          <t>İstanbul</t>
        </is>
      </c>
      <c r="C19" s="5" t="inlineStr">
        <is>
          <t>Web / WooCommerce / OpenCart</t>
        </is>
      </c>
      <c r="D19" s="5" t="inlineStr">
        <is>
          <t>info@sentez.com.tr</t>
        </is>
      </c>
      <c r="E19" s="5" t="inlineStr">
        <is>
          <t>https://sentez.com.tr</t>
        </is>
      </c>
      <c r="F19" s="5" t="inlineStr">
        <is>
          <t>https://www.linkedin.com/company/sentez-bilisim</t>
        </is>
      </c>
      <c r="G19" s="6" t="inlineStr">
        <is>
          <t>A</t>
        </is>
      </c>
      <c r="H19" s="5" t="inlineStr">
        <is>
          <t>WooCommerce-heavy; WordPress adapter is the obvious win.</t>
        </is>
      </c>
      <c r="I19" s="5" t="inlineStr">
        <is>
          <t>Lead with WP/Woo export demo from SiteProject.</t>
        </is>
      </c>
    </row>
    <row r="20">
      <c r="A20" s="5" t="inlineStr">
        <is>
          <t>Iktomi</t>
        </is>
      </c>
      <c r="B20" s="5" t="inlineStr">
        <is>
          <t>İstanbul</t>
        </is>
      </c>
      <c r="C20" s="5" t="inlineStr">
        <is>
          <t>Web / UI/UX</t>
        </is>
      </c>
      <c r="D20" s="5" t="inlineStr">
        <is>
          <t>hello@iktomi.com.tr</t>
        </is>
      </c>
      <c r="E20" s="5" t="inlineStr">
        <is>
          <t>https://iktomi.com.tr</t>
        </is>
      </c>
      <c r="F20" s="5" t="inlineStr">
        <is>
          <t>https://www.linkedin.com/company/iktomi</t>
        </is>
      </c>
      <c r="G20" s="6" t="inlineStr">
        <is>
          <t>A</t>
        </is>
      </c>
      <c r="H20" s="5" t="inlineStr">
        <is>
          <t>Custom dev shop with strong UI/UX reviews — design-first persona.</t>
        </is>
      </c>
      <c r="I20" s="5" t="inlineStr">
        <is>
          <t>Show how SiteProject preserves design intent across CMS targets.</t>
        </is>
      </c>
    </row>
    <row r="21">
      <c r="A21" s="5" t="inlineStr">
        <is>
          <t>Reklam5 Digital Agency</t>
        </is>
      </c>
      <c r="B21" s="5" t="inlineStr">
        <is>
          <t>İstanbul</t>
        </is>
      </c>
      <c r="C21" s="5" t="inlineStr">
        <is>
          <t>Web design / Digital</t>
        </is>
      </c>
      <c r="D21" s="5" t="inlineStr">
        <is>
          <t>info@reklam5.com</t>
        </is>
      </c>
      <c r="E21" s="5" t="inlineStr">
        <is>
          <t>https://www.reklam5.com</t>
        </is>
      </c>
      <c r="F21" s="5" t="inlineStr">
        <is>
          <t>https://www.linkedin.com/company/reklam5</t>
        </is>
      </c>
      <c r="G21" s="7" t="inlineStr">
        <is>
          <t>B</t>
        </is>
      </c>
      <c r="H21" s="5" t="inlineStr">
        <is>
          <t>Responsive web + digital marketing; mid-market builder.</t>
        </is>
      </c>
      <c r="I21" s="5" t="inlineStr">
        <is>
          <t>Pitch productized site-build offer powered by Yappaflow.</t>
        </is>
      </c>
    </row>
    <row r="22">
      <c r="A22" s="5" t="inlineStr">
        <is>
          <t>Lein Digital</t>
        </is>
      </c>
      <c r="B22" s="5" t="inlineStr">
        <is>
          <t>İstanbul</t>
        </is>
      </c>
      <c r="C22" s="5" t="inlineStr">
        <is>
          <t>Performance + Web</t>
        </is>
      </c>
      <c r="D22" s="5" t="inlineStr">
        <is>
          <t>hello@leindigital.com</t>
        </is>
      </c>
      <c r="E22" s="5" t="inlineStr">
        <is>
          <t>https://leindigital.com</t>
        </is>
      </c>
      <c r="F22" s="5" t="inlineStr">
        <is>
          <t>https://www.linkedin.com/company/lein-digital</t>
        </is>
      </c>
      <c r="G22" s="7" t="inlineStr">
        <is>
          <t>B</t>
        </is>
      </c>
      <c r="H22" s="5" t="inlineStr">
        <is>
          <t>Performance marketing that also ships sites; fits 'agency conversation → site' framing.</t>
        </is>
      </c>
      <c r="I22" s="5" t="inlineStr">
        <is>
          <t>Lead with 'turn discovery calls into shippable sites'.</t>
        </is>
      </c>
    </row>
    <row r="23">
      <c r="A23" s="5" t="inlineStr">
        <is>
          <t>Garraje</t>
        </is>
      </c>
      <c r="B23" s="5" t="inlineStr">
        <is>
          <t>İstanbul / Miami / Dubai</t>
        </is>
      </c>
      <c r="C23" s="5" t="inlineStr">
        <is>
          <t>360° digital + PR</t>
        </is>
      </c>
      <c r="D23" s="5" t="inlineStr">
        <is>
          <t>info@garraje.com</t>
        </is>
      </c>
      <c r="E23" s="5" t="inlineStr">
        <is>
          <t>https://garraje.com</t>
        </is>
      </c>
      <c r="F23" s="5" t="inlineStr">
        <is>
          <t>https://www.linkedin.com/company/garraje</t>
        </is>
      </c>
      <c r="G23" s="8" t="inlineStr">
        <is>
          <t>C</t>
        </is>
      </c>
      <c r="H23" s="5" t="inlineStr">
        <is>
          <t>Multi-region full-service agency; strategic rather than tactical lead.</t>
        </is>
      </c>
      <c r="I23" s="5" t="inlineStr">
        <is>
          <t>Pitch as multi-market site engine for client roster.</t>
        </is>
      </c>
    </row>
    <row r="24">
      <c r="A24" s="5" t="inlineStr">
        <is>
          <t>Creatives Data</t>
        </is>
      </c>
      <c r="B24" s="5" t="inlineStr">
        <is>
          <t>İstanbul</t>
        </is>
      </c>
      <c r="C24" s="5" t="inlineStr">
        <is>
          <t>Tech / data / digital</t>
        </is>
      </c>
      <c r="D24" s="5" t="inlineStr">
        <is>
          <t>info@creativesdata.com</t>
        </is>
      </c>
      <c r="E24" s="5" t="inlineStr">
        <is>
          <t>https://creativesdata.com</t>
        </is>
      </c>
      <c r="F24" s="5" t="inlineStr">
        <is>
          <t>https://www.linkedin.com/company/creatives-data</t>
        </is>
      </c>
      <c r="G24" s="8" t="inlineStr">
        <is>
          <t>C</t>
        </is>
      </c>
      <c r="H24" s="5" t="inlineStr">
        <is>
          <t>Data + AI heavy; technical buyer who will probe DesignDna schema.</t>
        </is>
      </c>
      <c r="I24" s="5" t="inlineStr">
        <is>
          <t>Engineering-credibility pitch: open SiteProject schema, no vendor lock-in.</t>
        </is>
      </c>
    </row>
    <row r="25">
      <c r="A25" s="5" t="inlineStr">
        <is>
          <t>Blue Ajans</t>
        </is>
      </c>
      <c r="B25" s="5" t="inlineStr">
        <is>
          <t>Ankara</t>
        </is>
      </c>
      <c r="C25" s="5" t="inlineStr">
        <is>
          <t>Web / Digital marketing</t>
        </is>
      </c>
      <c r="D25" s="5" t="inlineStr">
        <is>
          <t>info@blueajans.com.tr</t>
        </is>
      </c>
      <c r="E25" s="5" t="inlineStr">
        <is>
          <t>https://www.blueajans.com.tr</t>
        </is>
      </c>
      <c r="F25" s="5" t="inlineStr"/>
      <c r="G25" s="7" t="inlineStr">
        <is>
          <t>B</t>
        </is>
      </c>
      <c r="H25" s="5" t="inlineStr">
        <is>
          <t>Ankara web + e-com + SEO shop; repeat SMB site demand.</t>
        </is>
      </c>
      <c r="I25" s="5" t="inlineStr">
        <is>
          <t>Productized SMB site offer — Yappaflow as production engine.</t>
        </is>
      </c>
    </row>
    <row r="26">
      <c r="A26" s="5" t="inlineStr">
        <is>
          <t>Arma Digital</t>
        </is>
      </c>
      <c r="B26" s="5" t="inlineStr">
        <is>
          <t>Ankara</t>
        </is>
      </c>
      <c r="C26" s="5" t="inlineStr">
        <is>
          <t>Digital transformation</t>
        </is>
      </c>
      <c r="D26" s="5" t="inlineStr">
        <is>
          <t>info@armadigital.com.tr</t>
        </is>
      </c>
      <c r="E26" s="5" t="inlineStr">
        <is>
          <t>https://www.armadigital.com.tr</t>
        </is>
      </c>
      <c r="F26" s="5" t="inlineStr">
        <is>
          <t>https://www.linkedin.com/company/armadigital</t>
        </is>
      </c>
      <c r="G26" s="7" t="inlineStr">
        <is>
          <t>B</t>
        </is>
      </c>
      <c r="H26" s="5" t="inlineStr">
        <is>
          <t>Digital transformation shop; consultative buyer.</t>
        </is>
      </c>
      <c r="I26" s="5" t="inlineStr">
        <is>
          <t>Pitch as accelerator for sectoral transformation projects.</t>
        </is>
      </c>
    </row>
    <row r="27">
      <c r="A27" s="5" t="inlineStr">
        <is>
          <t>ArtArda Reklam Ajansı</t>
        </is>
      </c>
      <c r="B27" s="5" t="inlineStr">
        <is>
          <t>Ankara / İstanbul</t>
        </is>
      </c>
      <c r="C27" s="5" t="inlineStr">
        <is>
          <t>360° creative + digital</t>
        </is>
      </c>
      <c r="D27" s="5" t="inlineStr">
        <is>
          <t>info@artarda.com</t>
        </is>
      </c>
      <c r="E27" s="5" t="inlineStr">
        <is>
          <t>https://www.artarda.com</t>
        </is>
      </c>
      <c r="F27" s="5" t="inlineStr">
        <is>
          <t>https://www.linkedin.com/company/artarda</t>
        </is>
      </c>
      <c r="G27" s="7" t="inlineStr">
        <is>
          <t>B</t>
        </is>
      </c>
      <c r="H27" s="5" t="inlineStr">
        <is>
          <t>Cross-city creative+digital with web in scope.</t>
        </is>
      </c>
      <c r="I27" s="5" t="inlineStr">
        <is>
          <t>Use Ankara office as easy first meeting; demo design-DNA flow.</t>
        </is>
      </c>
    </row>
    <row r="28">
      <c r="A28" s="5" t="inlineStr">
        <is>
          <t>OOT Kreatif</t>
        </is>
      </c>
      <c r="B28" s="5" t="inlineStr">
        <is>
          <t>Ankara</t>
        </is>
      </c>
      <c r="C28" s="5" t="inlineStr">
        <is>
          <t>Full-service ad agency</t>
        </is>
      </c>
      <c r="D28" s="5" t="inlineStr">
        <is>
          <t>info@oot.com.tr</t>
        </is>
      </c>
      <c r="E28" s="5" t="inlineStr">
        <is>
          <t>https://oot.com.tr</t>
        </is>
      </c>
      <c r="F28" s="5" t="inlineStr">
        <is>
          <t>https://www.linkedin.com/company/oot-kreatif</t>
        </is>
      </c>
      <c r="G28" s="7" t="inlineStr">
        <is>
          <t>B</t>
        </is>
      </c>
      <c r="H28" s="5" t="inlineStr">
        <is>
          <t>Full-service Ankara shop, web is one of many lines.</t>
        </is>
      </c>
      <c r="I28" s="5" t="inlineStr">
        <is>
          <t>Pitch: Yappaflow lets them keep web in-house without scaling team.</t>
        </is>
      </c>
    </row>
    <row r="29">
      <c r="A29" s="5" t="inlineStr">
        <is>
          <t>Macfly</t>
        </is>
      </c>
      <c r="B29" s="5" t="inlineStr">
        <is>
          <t>Ankara</t>
        </is>
      </c>
      <c r="C29" s="5" t="inlineStr">
        <is>
          <t>Web / E-commerce</t>
        </is>
      </c>
      <c r="D29" s="5" t="inlineStr">
        <is>
          <t>info@macfly.com.tr</t>
        </is>
      </c>
      <c r="E29" s="5" t="inlineStr">
        <is>
          <t>https://www.macfly.com.tr</t>
        </is>
      </c>
      <c r="F29" s="5" t="inlineStr"/>
      <c r="G29" s="6" t="inlineStr">
        <is>
          <t>A</t>
        </is>
      </c>
      <c r="H29" s="5" t="inlineStr">
        <is>
          <t>Ankara web design firm; SMB volume.</t>
        </is>
      </c>
      <c r="I29" s="5" t="inlineStr">
        <is>
          <t>Volume/cost pitch — per-site margin improvement.</t>
        </is>
      </c>
    </row>
    <row r="30">
      <c r="A30" s="5" t="inlineStr">
        <is>
          <t>Sıradışı Digital</t>
        </is>
      </c>
      <c r="B30" s="5" t="inlineStr">
        <is>
          <t>Ankara</t>
        </is>
      </c>
      <c r="C30" s="5" t="inlineStr">
        <is>
          <t>Brand + Digital</t>
        </is>
      </c>
      <c r="D30" s="5" t="inlineStr">
        <is>
          <t>info@siradisidigital.com</t>
        </is>
      </c>
      <c r="E30" s="5" t="inlineStr">
        <is>
          <t>https://siradisidigital.com</t>
        </is>
      </c>
      <c r="F30" s="5" t="inlineStr">
        <is>
          <t>https://www.linkedin.com/company/siradisidigital</t>
        </is>
      </c>
      <c r="G30" s="7" t="inlineStr">
        <is>
          <t>B</t>
        </is>
      </c>
      <c r="H30" s="5" t="inlineStr">
        <is>
          <t>Brand-creation + digital shop.</t>
        </is>
      </c>
      <c r="I30" s="5" t="inlineStr">
        <is>
          <t>Brand-first buyer — lead with DesignDna and brand consistency.</t>
        </is>
      </c>
    </row>
    <row r="31">
      <c r="A31" s="5" t="inlineStr">
        <is>
          <t>BursaWeb</t>
        </is>
      </c>
      <c r="B31" s="5" t="inlineStr">
        <is>
          <t>Bursa</t>
        </is>
      </c>
      <c r="C31" s="5" t="inlineStr">
        <is>
          <t>Performance + Web</t>
        </is>
      </c>
      <c r="D31" s="5" t="inlineStr">
        <is>
          <t>info@bursaweb.com</t>
        </is>
      </c>
      <c r="E31" s="5" t="inlineStr">
        <is>
          <t>https://bursaweb.com/en/home</t>
        </is>
      </c>
      <c r="F31" s="5" t="inlineStr">
        <is>
          <t>https://www.linkedin.com/company/bursaweb</t>
        </is>
      </c>
      <c r="G31" s="7" t="inlineStr">
        <is>
          <t>B</t>
        </is>
      </c>
      <c r="H31" s="5" t="inlineStr">
        <is>
          <t>Bursa-based perf+web shop; regional volume buyer.</t>
        </is>
      </c>
      <c r="I31" s="5" t="inlineStr">
        <is>
          <t>Productized regional SMB site offer.</t>
        </is>
      </c>
    </row>
    <row r="32">
      <c r="A32" s="5" t="inlineStr">
        <is>
          <t>Dynaside Digital Solutions</t>
        </is>
      </c>
      <c r="B32" s="5" t="inlineStr">
        <is>
          <t>İzmir</t>
        </is>
      </c>
      <c r="C32" s="5" t="inlineStr">
        <is>
          <t>Web projects</t>
        </is>
      </c>
      <c r="D32" s="5" t="inlineStr">
        <is>
          <t>info@dynaside.com</t>
        </is>
      </c>
      <c r="E32" s="5" t="inlineStr">
        <is>
          <t>https://dynaside.com</t>
        </is>
      </c>
      <c r="F32" s="5" t="inlineStr">
        <is>
          <t>https://www.linkedin.com/company/dynaside</t>
        </is>
      </c>
      <c r="G32" s="6" t="inlineStr">
        <is>
          <t>A</t>
        </is>
      </c>
      <c r="H32" s="5" t="inlineStr">
        <is>
          <t>İzmir web shop on national/international projects.</t>
        </is>
      </c>
      <c r="I32" s="5" t="inlineStr">
        <is>
          <t>Multi-CMS export pitch (Shopify/WP/Webflow).</t>
        </is>
      </c>
    </row>
    <row r="33">
      <c r="A33" s="5" t="inlineStr">
        <is>
          <t>Maxantalya</t>
        </is>
      </c>
      <c r="B33" s="5" t="inlineStr">
        <is>
          <t>Antalya</t>
        </is>
      </c>
      <c r="C33" s="5" t="inlineStr">
        <is>
          <t>Corporate web</t>
        </is>
      </c>
      <c r="D33" s="5" t="inlineStr">
        <is>
          <t>info@maxantalya.com</t>
        </is>
      </c>
      <c r="E33" s="5" t="inlineStr">
        <is>
          <t>https://www.maxantalya.com</t>
        </is>
      </c>
      <c r="F33" s="5" t="inlineStr"/>
      <c r="G33" s="7" t="inlineStr">
        <is>
          <t>B</t>
        </is>
      </c>
      <c r="H33" s="5" t="inlineStr">
        <is>
          <t>Antalya corporate web; tourism + SMB clientele.</t>
        </is>
      </c>
      <c r="I33" s="5" t="inlineStr">
        <is>
          <t>Multilingual site (TR/EN/DE/RU) angle for tourism.</t>
        </is>
      </c>
    </row>
    <row r="34">
      <c r="A34" s="5" t="inlineStr">
        <is>
          <t>TRIOS Software &amp; Design</t>
        </is>
      </c>
      <c r="B34" s="5" t="inlineStr">
        <is>
          <t>İstanbul</t>
        </is>
      </c>
      <c r="C34" s="5" t="inlineStr">
        <is>
          <t>Web / digital</t>
        </is>
      </c>
      <c r="D34" s="5" t="inlineStr">
        <is>
          <t>info@trios.com.tr</t>
        </is>
      </c>
      <c r="E34" s="5" t="inlineStr">
        <is>
          <t>https://trios.com.tr</t>
        </is>
      </c>
      <c r="F34" s="5" t="inlineStr">
        <is>
          <t>https://www.linkedin.com/company/trios-software-design</t>
        </is>
      </c>
      <c r="G34" s="7" t="inlineStr">
        <is>
          <t>B</t>
        </is>
      </c>
      <c r="H34" s="5" t="inlineStr">
        <is>
          <t>19+ yrs in web — long-tail B2B/SMB pipeline.</t>
        </is>
      </c>
      <c r="I34" s="5" t="inlineStr">
        <is>
          <t>Repeat-build economics pitch.</t>
        </is>
      </c>
    </row>
    <row r="35">
      <c r="A35" s="5" t="inlineStr">
        <is>
          <t>Cremicro</t>
        </is>
      </c>
      <c r="B35" s="5" t="inlineStr">
        <is>
          <t>İstanbul</t>
        </is>
      </c>
      <c r="C35" s="5" t="inlineStr">
        <is>
          <t>Digital marketing</t>
        </is>
      </c>
      <c r="D35" s="5" t="inlineStr">
        <is>
          <t>info@cremicro.com</t>
        </is>
      </c>
      <c r="E35" s="5" t="inlineStr">
        <is>
          <t>https://cremicro.com</t>
        </is>
      </c>
      <c r="F35" s="5" t="inlineStr">
        <is>
          <t>https://www.linkedin.com/company/cremicro</t>
        </is>
      </c>
      <c r="G35" s="8" t="inlineStr">
        <is>
          <t>C</t>
        </is>
      </c>
      <c r="H35" s="5" t="inlineStr">
        <is>
          <t>Top-ranked TR digital marketing agency; partner channel for site delivery.</t>
        </is>
      </c>
      <c r="I35" s="5" t="inlineStr">
        <is>
          <t>Pitch white-label site engine for their clients.</t>
        </is>
      </c>
    </row>
    <row r="36">
      <c r="A36" s="5" t="inlineStr">
        <is>
          <t>ROIPUBLIC</t>
        </is>
      </c>
      <c r="B36" s="5" t="inlineStr">
        <is>
          <t>İstanbul</t>
        </is>
      </c>
      <c r="C36" s="5" t="inlineStr">
        <is>
          <t>Performance / SEO</t>
        </is>
      </c>
      <c r="D36" s="5" t="inlineStr">
        <is>
          <t>hello@roipublic.com</t>
        </is>
      </c>
      <c r="E36" s="5" t="inlineStr">
        <is>
          <t>https://roipublic.com</t>
        </is>
      </c>
      <c r="F36" s="5" t="inlineStr">
        <is>
          <t>https://www.linkedin.com/company/roipublic</t>
        </is>
      </c>
      <c r="G36" s="8" t="inlineStr">
        <is>
          <t>C</t>
        </is>
      </c>
      <c r="H36" s="5" t="inlineStr">
        <is>
          <t>Perf+SEO shop with site-rebuild-for-CRO use case.</t>
        </is>
      </c>
      <c r="I36" s="5" t="inlineStr">
        <is>
          <t>CRO-driven landing page generation pitch.</t>
        </is>
      </c>
    </row>
    <row r="37">
      <c r="A37" s="5" t="inlineStr">
        <is>
          <t>Source Software</t>
        </is>
      </c>
      <c r="B37" s="5" t="inlineStr">
        <is>
          <t>İstanbul</t>
        </is>
      </c>
      <c r="C37" s="5" t="inlineStr">
        <is>
          <t>Web design</t>
        </is>
      </c>
      <c r="D37" s="5" t="inlineStr">
        <is>
          <t>info@sourceyazilim.com</t>
        </is>
      </c>
      <c r="E37" s="5" t="inlineStr">
        <is>
          <t>https://sourceyazilim.com</t>
        </is>
      </c>
      <c r="F37" s="5" t="inlineStr"/>
      <c r="G37" s="7" t="inlineStr">
        <is>
          <t>B</t>
        </is>
      </c>
      <c r="H37" s="5" t="inlineStr">
        <is>
          <t>Mid-market web shop.</t>
        </is>
      </c>
      <c r="I37" s="5" t="inlineStr">
        <is>
          <t>Volume/throughput pitch.</t>
        </is>
      </c>
    </row>
    <row r="38">
      <c r="A38" s="5" t="inlineStr">
        <is>
          <t>TBWA\Istanbul</t>
        </is>
      </c>
      <c r="B38" s="5" t="inlineStr">
        <is>
          <t>İstanbul</t>
        </is>
      </c>
      <c r="C38" s="5" t="inlineStr">
        <is>
          <t>Creative agency (large)</t>
        </is>
      </c>
      <c r="D38" s="5" t="inlineStr">
        <is>
          <t>info@tbwa-istanbul.com</t>
        </is>
      </c>
      <c r="E38" s="5" t="inlineStr">
        <is>
          <t>https://tbwa-istanbul.com</t>
        </is>
      </c>
      <c r="F38" s="5" t="inlineStr">
        <is>
          <t>https://www.linkedin.com/company/tbwa-istanbul</t>
        </is>
      </c>
      <c r="G38" s="8" t="inlineStr">
        <is>
          <t>C</t>
        </is>
      </c>
      <c r="H38" s="5" t="inlineStr">
        <is>
          <t>One of TR's most creative shops — strategic awareness/PR target only.</t>
        </is>
      </c>
      <c r="I38" s="5" t="inlineStr">
        <is>
          <t>Not a first buyer; case-study target.</t>
        </is>
      </c>
    </row>
    <row r="39">
      <c r="A39" s="5" t="inlineStr">
        <is>
          <t>Medina Turgul DDB</t>
        </is>
      </c>
      <c r="B39" s="5" t="inlineStr">
        <is>
          <t>İstanbul</t>
        </is>
      </c>
      <c r="C39" s="5" t="inlineStr">
        <is>
          <t>Creative agency (large)</t>
        </is>
      </c>
      <c r="D39" s="5" t="inlineStr">
        <is>
          <t>info@medinaturguldb.com</t>
        </is>
      </c>
      <c r="E39" s="5" t="inlineStr">
        <is>
          <t>https://www.medinaturguldb.com</t>
        </is>
      </c>
      <c r="F39" s="5" t="inlineStr">
        <is>
          <t>https://www.linkedin.com/company/medina-turgul-ddb</t>
        </is>
      </c>
      <c r="G39" s="8" t="inlineStr">
        <is>
          <t>C</t>
        </is>
      </c>
      <c r="H39" s="5" t="inlineStr">
        <is>
          <t>Large network agency; awareness only.</t>
        </is>
      </c>
      <c r="I39" s="5" t="inlineStr">
        <is>
          <t>Not a first buyer.</t>
        </is>
      </c>
    </row>
    <row r="40">
      <c r="A40" s="5" t="inlineStr">
        <is>
          <t>Rafineri</t>
        </is>
      </c>
      <c r="B40" s="5" t="inlineStr">
        <is>
          <t>İstanbul</t>
        </is>
      </c>
      <c r="C40" s="5" t="inlineStr">
        <is>
          <t>Creative agency</t>
        </is>
      </c>
      <c r="D40" s="5" t="inlineStr">
        <is>
          <t>info@rafineri.com.tr</t>
        </is>
      </c>
      <c r="E40" s="5" t="inlineStr">
        <is>
          <t>https://www.rafineri.com.tr</t>
        </is>
      </c>
      <c r="F40" s="5" t="inlineStr">
        <is>
          <t>https://www.linkedin.com/company/rafineri</t>
        </is>
      </c>
      <c r="G40" s="8" t="inlineStr">
        <is>
          <t>C</t>
        </is>
      </c>
      <c r="H40" s="5" t="inlineStr">
        <is>
          <t>Awarded creative shop; awareness/PR target.</t>
        </is>
      </c>
      <c r="I40" s="5" t="inlineStr">
        <is>
          <t>Not a first buyer.</t>
        </is>
      </c>
    </row>
    <row r="41">
      <c r="A41" s="5" t="inlineStr">
        <is>
          <t>Alametifarika</t>
        </is>
      </c>
      <c r="B41" s="5" t="inlineStr">
        <is>
          <t>İstanbul</t>
        </is>
      </c>
      <c r="C41" s="5" t="inlineStr">
        <is>
          <t>Creative agency</t>
        </is>
      </c>
      <c r="D41" s="5" t="inlineStr">
        <is>
          <t>info@alametifarika.com.tr</t>
        </is>
      </c>
      <c r="E41" s="5" t="inlineStr">
        <is>
          <t>https://www.alametifarika.com.tr</t>
        </is>
      </c>
      <c r="F41" s="5" t="inlineStr">
        <is>
          <t>https://www.linkedin.com/company/alametifarika</t>
        </is>
      </c>
      <c r="G41" s="8" t="inlineStr">
        <is>
          <t>C</t>
        </is>
      </c>
      <c r="H41" s="5" t="inlineStr">
        <is>
          <t>Top-tier creative; strategic only.</t>
        </is>
      </c>
      <c r="I41" s="5" t="inlineStr">
        <is>
          <t>Not a first buyer.</t>
        </is>
      </c>
    </row>
    <row r="42">
      <c r="A42" s="5" t="inlineStr">
        <is>
          <t>4129Grey (Grey İstanbul)</t>
        </is>
      </c>
      <c r="B42" s="5" t="inlineStr">
        <is>
          <t>İstanbul</t>
        </is>
      </c>
      <c r="C42" s="5" t="inlineStr">
        <is>
          <t>Digital + creative</t>
        </is>
      </c>
      <c r="D42" s="5" t="inlineStr">
        <is>
          <t>info@4129grey.com</t>
        </is>
      </c>
      <c r="E42" s="5" t="inlineStr">
        <is>
          <t>https://www.4129grey.com</t>
        </is>
      </c>
      <c r="F42" s="5" t="inlineStr">
        <is>
          <t>https://www.linkedin.com/company/4129grey</t>
        </is>
      </c>
      <c r="G42" s="8" t="inlineStr">
        <is>
          <t>C</t>
        </is>
      </c>
      <c r="H42" s="5" t="inlineStr">
        <is>
          <t>Large digital+creative; partner-tier.</t>
        </is>
      </c>
      <c r="I42" s="5" t="inlineStr">
        <is>
          <t>Strategic introduction.</t>
        </is>
      </c>
    </row>
    <row r="43">
      <c r="A43" s="5" t="inlineStr">
        <is>
          <t>Tribal Worldwide İstanbul</t>
        </is>
      </c>
      <c r="B43" s="5" t="inlineStr">
        <is>
          <t>İstanbul</t>
        </is>
      </c>
      <c r="C43" s="5" t="inlineStr">
        <is>
          <t>Digital network</t>
        </is>
      </c>
      <c r="D43" s="5" t="inlineStr">
        <is>
          <t>info@tribalworldwide.com.tr</t>
        </is>
      </c>
      <c r="E43" s="5" t="inlineStr">
        <is>
          <t>https://www.tribalworldwide.com.tr</t>
        </is>
      </c>
      <c r="F43" s="5" t="inlineStr">
        <is>
          <t>https://www.linkedin.com/company/tribal-worldwide-istanbul</t>
        </is>
      </c>
      <c r="G43" s="8" t="inlineStr">
        <is>
          <t>C</t>
        </is>
      </c>
      <c r="H43" s="5" t="inlineStr">
        <is>
          <t>Network digital agency; awareness only.</t>
        </is>
      </c>
      <c r="I43" s="5" t="inlineStr">
        <is>
          <t>Strategic introduction.</t>
        </is>
      </c>
    </row>
    <row r="44">
      <c r="A44" s="5" t="inlineStr">
        <is>
          <t>Tick Tock Boom</t>
        </is>
      </c>
      <c r="B44" s="5" t="inlineStr">
        <is>
          <t>İstanbul</t>
        </is>
      </c>
      <c r="C44" s="5" t="inlineStr">
        <is>
          <t>Digital agency</t>
        </is>
      </c>
      <c r="D44" s="5" t="inlineStr">
        <is>
          <t>info@ticktockboom.com.tr</t>
        </is>
      </c>
      <c r="E44" s="5" t="inlineStr">
        <is>
          <t>https://www.ticktockboom.com.tr</t>
        </is>
      </c>
      <c r="F44" s="5" t="inlineStr">
        <is>
          <t>https://www.linkedin.com/company/tick-tock-boom</t>
        </is>
      </c>
      <c r="G44" s="7" t="inlineStr">
        <is>
          <t>B</t>
        </is>
      </c>
      <c r="H44" s="5" t="inlineStr">
        <is>
          <t>Mid-large digital shop; web in scope.</t>
        </is>
      </c>
      <c r="I44" s="5" t="inlineStr">
        <is>
          <t>Pitch as production engine.</t>
        </is>
      </c>
    </row>
    <row r="45">
      <c r="A45" s="5" t="inlineStr">
        <is>
          <t>Bozbora Medya</t>
        </is>
      </c>
      <c r="B45" s="5" t="inlineStr">
        <is>
          <t>İstanbul</t>
        </is>
      </c>
      <c r="C45" s="5" t="inlineStr">
        <is>
          <t>Digital ad agency</t>
        </is>
      </c>
      <c r="D45" s="5" t="inlineStr">
        <is>
          <t>info@bozboramedya.com</t>
        </is>
      </c>
      <c r="E45" s="5" t="inlineStr">
        <is>
          <t>https://bozboramedya.com</t>
        </is>
      </c>
      <c r="F45" s="5" t="inlineStr">
        <is>
          <t>https://www.linkedin.com/company/bozbora-medya</t>
        </is>
      </c>
      <c r="G45" s="7" t="inlineStr">
        <is>
          <t>B</t>
        </is>
      </c>
      <c r="H45" s="5" t="inlineStr">
        <is>
          <t>Digital ad + web; SMB pipeline.</t>
        </is>
      </c>
      <c r="I45" s="5" t="inlineStr">
        <is>
          <t>Productized site offer.</t>
        </is>
      </c>
    </row>
    <row r="46">
      <c r="A46" s="5" t="inlineStr">
        <is>
          <t>Destex Digital</t>
        </is>
      </c>
      <c r="B46" s="5" t="inlineStr">
        <is>
          <t>İstanbul</t>
        </is>
      </c>
      <c r="C46" s="5" t="inlineStr">
        <is>
          <t>Digital agency</t>
        </is>
      </c>
      <c r="D46" s="5" t="inlineStr">
        <is>
          <t>info@destex.com.tr</t>
        </is>
      </c>
      <c r="E46" s="5" t="inlineStr">
        <is>
          <t>https://destex.com.tr</t>
        </is>
      </c>
      <c r="F46" s="5" t="inlineStr">
        <is>
          <t>https://www.linkedin.com/company/destex-digital</t>
        </is>
      </c>
      <c r="G46" s="7" t="inlineStr">
        <is>
          <t>B</t>
        </is>
      </c>
      <c r="H46" s="5" t="inlineStr">
        <is>
          <t>Mid-market digital shop.</t>
        </is>
      </c>
      <c r="I46" s="5" t="inlineStr">
        <is>
          <t>Volume/throughput pitch.</t>
        </is>
      </c>
    </row>
    <row r="47">
      <c r="A47" s="5" t="inlineStr">
        <is>
          <t>Happy People Project</t>
        </is>
      </c>
      <c r="B47" s="5" t="inlineStr">
        <is>
          <t>İstanbul</t>
        </is>
      </c>
      <c r="C47" s="5" t="inlineStr">
        <is>
          <t>Creative + digital</t>
        </is>
      </c>
      <c r="D47" s="5" t="inlineStr">
        <is>
          <t>info@happypeopleproject.com</t>
        </is>
      </c>
      <c r="E47" s="5" t="inlineStr">
        <is>
          <t>https://happypeopleproject.com</t>
        </is>
      </c>
      <c r="F47" s="5" t="inlineStr">
        <is>
          <t>https://www.linkedin.com/company/happy-people-project</t>
        </is>
      </c>
      <c r="G47" s="8" t="inlineStr">
        <is>
          <t>C</t>
        </is>
      </c>
      <c r="H47" s="5" t="inlineStr">
        <is>
          <t>Cannes-decorated youth-brand creative shop.</t>
        </is>
      </c>
      <c r="I47" s="5" t="inlineStr">
        <is>
          <t>Strategic / case-study target.</t>
        </is>
      </c>
    </row>
    <row r="48">
      <c r="A48" s="5" t="inlineStr">
        <is>
          <t>Kreatif İletişim Ajansı</t>
        </is>
      </c>
      <c r="B48" s="5" t="inlineStr">
        <is>
          <t>İstanbul</t>
        </is>
      </c>
      <c r="C48" s="5" t="inlineStr">
        <is>
          <t>Creative communications</t>
        </is>
      </c>
      <c r="D48" s="5" t="inlineStr">
        <is>
          <t>info@kreatif.net</t>
        </is>
      </c>
      <c r="E48" s="5" t="inlineStr">
        <is>
          <t>https://www.kreatif.net</t>
        </is>
      </c>
      <c r="F48" s="5" t="inlineStr">
        <is>
          <t>https://www.linkedin.com/company/kreatif-net</t>
        </is>
      </c>
      <c r="G48" s="7" t="inlineStr">
        <is>
          <t>B</t>
        </is>
      </c>
      <c r="H48" s="5" t="inlineStr">
        <is>
          <t>Communications + digital; web among services.</t>
        </is>
      </c>
      <c r="I48" s="5" t="inlineStr">
        <is>
          <t>Pitch as production engine.</t>
        </is>
      </c>
    </row>
    <row r="49">
      <c r="A49" s="5" t="inlineStr">
        <is>
          <t>Özge Keleş</t>
        </is>
      </c>
      <c r="B49" s="5" t="inlineStr">
        <is>
          <t>Ankara</t>
        </is>
      </c>
      <c r="C49" s="5" t="inlineStr">
        <is>
          <t>Freelance Webflow designer</t>
        </is>
      </c>
      <c r="D49" s="5" t="inlineStr">
        <is>
          <t>hello@ozgekeles.com</t>
        </is>
      </c>
      <c r="E49" s="5" t="inlineStr">
        <is>
          <t>https://ozgekeles.com</t>
        </is>
      </c>
      <c r="F49" s="5" t="inlineStr">
        <is>
          <t>https://www.linkedin.com/in/ozgekeles</t>
        </is>
      </c>
      <c r="G49" s="6" t="inlineStr">
        <is>
          <t>A</t>
        </is>
      </c>
      <c r="H49" s="5" t="inlineStr">
        <is>
          <t>Independent Webflow designer — fastest-to-yes early adopter profile.</t>
        </is>
      </c>
      <c r="I49" s="5" t="inlineStr">
        <is>
          <t>Free-tier or design-partner program; collect feedback fast.</t>
        </is>
      </c>
    </row>
    <row r="50">
      <c r="A50" s="5" t="inlineStr">
        <is>
          <t>Birsu Köktürk</t>
        </is>
      </c>
      <c r="B50" s="5" t="inlineStr">
        <is>
          <t>İzmir</t>
        </is>
      </c>
      <c r="C50" s="5" t="inlineStr">
        <is>
          <t>UI/UX freelancer</t>
        </is>
      </c>
      <c r="D50" s="5" t="inlineStr">
        <is>
          <t>hello@birsukokturk.com</t>
        </is>
      </c>
      <c r="E50" s="5" t="inlineStr">
        <is>
          <t>https://birsukokturk.com</t>
        </is>
      </c>
      <c r="F50" s="5" t="inlineStr">
        <is>
          <t>https://www.linkedin.com/in/birsu-kokturk</t>
        </is>
      </c>
      <c r="G50" s="6" t="inlineStr">
        <is>
          <t>A</t>
        </is>
      </c>
      <c r="H50" s="5" t="inlineStr">
        <is>
          <t>Independent UI/UX designer — design-system import beta target.</t>
        </is>
      </c>
      <c r="I50" s="5" t="inlineStr">
        <is>
          <t>Beta tester; AI design-DNA feedback loop.</t>
        </is>
      </c>
    </row>
  </sheetData>
  <autoFilter ref="A5:I50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 ht="26" customHeight="1">
      <c r="A1" s="9" t="inlineStr">
        <is>
          <t>Outreach Summary</t>
        </is>
      </c>
    </row>
    <row r="3">
      <c r="A3" s="10" t="inlineStr">
        <is>
          <t>Metric</t>
        </is>
      </c>
      <c r="B3" s="10" t="inlineStr">
        <is>
          <t>Value</t>
        </is>
      </c>
    </row>
    <row r="4">
      <c r="A4" s="11" t="inlineStr">
        <is>
          <t>Total contacts</t>
        </is>
      </c>
      <c r="B4" s="11">
        <f>COUNTA(Contacts!A6:A50)</f>
        <v/>
      </c>
    </row>
    <row r="5">
      <c r="A5" s="11" t="inlineStr">
        <is>
          <t>Tier A (direct ICP)</t>
        </is>
      </c>
      <c r="B5" s="11">
        <f>COUNTIF(Contacts!G6:G50,"A")</f>
        <v/>
      </c>
    </row>
    <row r="6">
      <c r="A6" s="11" t="inlineStr">
        <is>
          <t>Tier B (adjacent)</t>
        </is>
      </c>
      <c r="B6" s="11">
        <f>COUNTIF(Contacts!G6:G50,"B")</f>
        <v/>
      </c>
    </row>
    <row r="7">
      <c r="A7" s="11" t="inlineStr">
        <is>
          <t>Tier C (strategic)</t>
        </is>
      </c>
      <c r="B7" s="11">
        <f>COUNTIF(Contacts!G6:G50,"C")</f>
        <v/>
      </c>
    </row>
    <row r="9">
      <c r="A9" s="12" t="inlineStr">
        <is>
          <t>By city</t>
        </is>
      </c>
    </row>
    <row r="10">
      <c r="A10" t="inlineStr">
        <is>
          <t>Ankara</t>
        </is>
      </c>
      <c r="B10">
        <f>COUNTIF(Contacts!B6:B50,"Ankara")</f>
        <v/>
      </c>
    </row>
    <row r="11">
      <c r="A11" t="inlineStr">
        <is>
          <t>Ankara / İstanbul</t>
        </is>
      </c>
      <c r="B11">
        <f>COUNTIF(Contacts!B6:B50,"Ankara / İstanbul")</f>
        <v/>
      </c>
    </row>
    <row r="12">
      <c r="A12" t="inlineStr">
        <is>
          <t>Antalya</t>
        </is>
      </c>
      <c r="B12">
        <f>COUNTIF(Contacts!B6:B50,"Antalya")</f>
        <v/>
      </c>
    </row>
    <row r="13">
      <c r="A13" t="inlineStr">
        <is>
          <t>Bursa</t>
        </is>
      </c>
      <c r="B13">
        <f>COUNTIF(Contacts!B6:B50,"Bursa")</f>
        <v/>
      </c>
    </row>
    <row r="14">
      <c r="A14" t="inlineStr">
        <is>
          <t>İstanbul</t>
        </is>
      </c>
      <c r="B14">
        <f>COUNTIF(Contacts!B6:B50,"İstanbul")</f>
        <v/>
      </c>
    </row>
    <row r="15">
      <c r="A15" t="inlineStr">
        <is>
          <t>İstanbul / Kiel</t>
        </is>
      </c>
      <c r="B15">
        <f>COUNTIF(Contacts!B6:B50,"İstanbul / Kiel")</f>
        <v/>
      </c>
    </row>
    <row r="16">
      <c r="A16" t="inlineStr">
        <is>
          <t>İstanbul / London</t>
        </is>
      </c>
      <c r="B16">
        <f>COUNTIF(Contacts!B6:B50,"İstanbul / London")</f>
        <v/>
      </c>
    </row>
    <row r="17">
      <c r="A17" t="inlineStr">
        <is>
          <t>İstanbul / Miami / Dubai</t>
        </is>
      </c>
      <c r="B17">
        <f>COUNTIF(Contacts!B6:B50,"İstanbul / Miami / Dubai")</f>
        <v/>
      </c>
    </row>
    <row r="18">
      <c r="A18" t="inlineStr">
        <is>
          <t>İstanbul / Remote</t>
        </is>
      </c>
      <c r="B18">
        <f>COUNTIF(Contacts!B6:B50,"İstanbul / Remote")</f>
        <v/>
      </c>
    </row>
    <row r="19">
      <c r="A19" t="inlineStr">
        <is>
          <t>İzmir</t>
        </is>
      </c>
      <c r="B19">
        <f>COUNTIF(Contacts!B6:B50,"İzmir")</f>
        <v/>
      </c>
    </row>
    <row r="21">
      <c r="A21" s="12" t="inlineStr">
        <is>
          <t>Notes</t>
        </is>
      </c>
    </row>
    <row r="22">
      <c r="A22" s="13" t="inlineStr">
        <is>
          <t>1. Tier A is the wedge — IKAS partners + Shopify shops + Webflow Enterprise partners.</t>
        </is>
      </c>
    </row>
    <row r="23">
      <c r="A23" s="13" t="inlineStr">
        <is>
          <t>2. Emails are domain-pattern best guesses. Run them through a verifier (Hunter, Dropcontact) before any send.</t>
        </is>
      </c>
    </row>
    <row r="24">
      <c r="A24" s="13" t="inlineStr">
        <is>
          <t>3. Ankara/Izmir/Bursa/Antalya rows give regional spread for SMB volume tests.</t>
        </is>
      </c>
    </row>
    <row r="25">
      <c r="A25" s="13" t="inlineStr">
        <is>
          <t>4. Creative giants (TBWA, Medina Turgul DDB, Rafineri, Alametifarika) are PR/awareness — not first sales.</t>
        </is>
      </c>
    </row>
    <row r="26">
      <c r="A26" s="13" t="inlineStr">
        <is>
          <t>5. Freelancers (Özge Keleş, Birsu Köktürk) are fastest-to-yes for design-partner program.</t>
        </is>
      </c>
    </row>
  </sheetData>
  <mergeCells count="5">
    <mergeCell ref="A23:D23"/>
    <mergeCell ref="A22:D22"/>
    <mergeCell ref="A26:D26"/>
    <mergeCell ref="A25:D25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2026-04-27T16:02:42Z</dcterms:created>
  <dcterms:modified xmlns:dcterms="http://purl.org/dc/terms/" xmlns:xsi="http://www.w3.org/2001/XMLSchema-instance" xsi:type="dcterms:W3CDTF">2026-04-27T16:02:42Z</dcterms:modified>
</cp:coreProperties>
</file>