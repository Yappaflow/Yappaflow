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lan" sheetId="1" state="visible" r:id="rId3"/>
    <sheet name="Leads" sheetId="2" state="visible" r:id="rId4"/>
    <sheet name="Samsun" sheetId="3" state="visible" r:id="rId5"/>
    <sheet name="İzmi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<sst xmlns="http://schemas.openxmlformats.org/spreadsheetml/2006/main" count="4033" uniqueCount="2294">
  <si>
    <t xml:space="preserve">Yappaflow — Turkish organic-outreach plan</t>
  </si>
  <si>
    <t xml:space="preserve">Prepared 2026-04-20 · Region: Turkey · Audience: small web/branding agencies + freelance web devs/designers</t>
  </si>
  <si>
    <t xml:space="preserve">1. What we are selling them</t>
  </si>
  <si>
    <t xml:space="preserve">  • Yappaflow takes a two-party chat (agency ↔ client) and auto-generates + packages a complete, deploy-ready website as a ZIP.</t>
  </si>
  <si>
    <t xml:space="preserve">  • Supported platforms today: custom static site (ready); Shopify export (in-flight).</t>
  </si>
  <si>
    <t xml:space="preserve">  • Every generated site ships with a light default theme + working dark-mode toggle, WCAG AA contrast.</t>
  </si>
  <si>
    <t xml:space="preserve">  • For agencies: cuts the 'brief → first draft' cycle from days to minutes. For freelancers: lets one person deliver the volume of a small studio.</t>
  </si>
  <si>
    <t xml:space="preserve">2. Two angles, one list</t>
  </si>
  <si>
    <t xml:space="preserve">  • CLIENT angle (default) — 'Use Yappaflow to deliver client websites 5-10x faster.' Use this for agencies + freelancers who build small-business sites.</t>
  </si>
  <si>
    <t xml:space="preserve">  • PARTNERSHIP angle — Use this for Shopify/ikas partner agencies. Frame Yappaflow as a funnel filler: when their store clients also need a marketing site, we generate it + hand back a ZIP they can host.</t>
  </si>
  <si>
    <t xml:space="preserve">  • Priority in the Leads tab reflects which angle likely lands better: High = warm fit (custom-site shops + small studios), Med = partner agencies where the partnership angle needs a meeting, Low = larger full-service shops where we're a long shot.</t>
  </si>
  <si>
    <t xml:space="preserve">3. First-touch outreach sequence (suggested)</t>
  </si>
  <si>
    <t xml:space="preserve">  • Day 0 — personalized cold email (120-180 words). Reference something from their site ('saw your project for X'). Offer a 3-minute Loom walking through Yappaflow with their own brand as the demo.</t>
  </si>
  <si>
    <t xml:space="preserve">  • Day 3 — LinkedIn connection request with no pitch, just 'sent you a note about a tool I'm building.'</t>
  </si>
  <si>
    <t xml:space="preserve">  • Day 7 — reply in-thread with a short clip or a link to a generated demo site using one of their past clients' copy.</t>
  </si>
  <si>
    <t xml:space="preserve">  • Day 14 — final bump, 'closing the loop — worth a 15-min chat?'</t>
  </si>
  <si>
    <t xml:space="preserve">  • Track status in the Leads tab 'Status' column so you can see pipeline at a glance.</t>
  </si>
  <si>
    <t xml:space="preserve">4. What to promise (and not promise)</t>
  </si>
  <si>
    <t xml:space="preserve">  • DO say: free for the first 5 sites, white-label ZIP export, light+dark theme by default, you keep the client relationship.</t>
  </si>
  <si>
    <t xml:space="preserve">  • DO NOT say: 'fully automated agency in a box' — agencies resist tools that replace them. Position as a delivery accelerator, not a replacement.</t>
  </si>
  <si>
    <t xml:space="preserve">  • Always point to: live demo site (recommend building one using a real Turkish café/atelier as a public showcase before sending).</t>
  </si>
  <si>
    <t xml:space="preserve">5. Social / organic parallel track</t>
  </si>
  <si>
    <t xml:space="preserve">  • Open X (Twitter) + LinkedIn company pages in the same week. Post 3-4x/week: before/after builds, a generated site per day, bite-size threads on 'how we turned a WhatsApp chat into a live site'.</t>
  </si>
  <si>
    <t xml:space="preserve">  • Join Turkish dev + agency communities: 'Türkiye Dijital Ajanslar' LinkedIn group, kodluyoruz Discord, Indie Hackers Turkey, armut/bionluk forums.</t>
  </si>
  <si>
    <t xml:space="preserve">  • Reach out to 2-3 Turkish indie-hacker YouTubers/podcasters (Birkan Ulusoy, Can Arslan, etc.) for a feature once you have a public demo.</t>
  </si>
  <si>
    <t xml:space="preserve">6. Lead-sheet legend</t>
  </si>
  <si>
    <t xml:space="preserve">  • Type: AGENCY (≥3 people) · FREELANCER (solo) · PLATFORM PARTNER (Shopify/ikas/Webflow certified agency).</t>
  </si>
  <si>
    <t xml:space="preserve">  • Priority: HIGH = strong fit and easy to reach · MED = fit but needs warmer intro · LOW = larger/full-service, use as stretch.</t>
  </si>
  <si>
    <t xml:space="preserve">  • Status column left blank for you to fill: 'Queued', 'Sent', 'Replied', 'Meeting', 'Passed', 'Closed'.</t>
  </si>
  <si>
    <t xml:space="preserve">  • Some rows have no public email — use the website contact form or LinkedIn DM as the first touch.</t>
  </si>
  <si>
    <t xml:space="preserve">#</t>
  </si>
  <si>
    <t xml:space="preserve">Company / Name</t>
  </si>
  <si>
    <t xml:space="preserve">Type</t>
  </si>
  <si>
    <t xml:space="preserve">City</t>
  </si>
  <si>
    <t xml:space="preserve">Website</t>
  </si>
  <si>
    <t xml:space="preserve">Email</t>
  </si>
  <si>
    <t xml:space="preserve">Phone</t>
  </si>
  <si>
    <t xml:space="preserve">LinkedIn</t>
  </si>
  <si>
    <t xml:space="preserve">Decision-maker</t>
  </si>
  <si>
    <t xml:space="preserve">Fit note</t>
  </si>
  <si>
    <t xml:space="preserve">Outreach angle</t>
  </si>
  <si>
    <t xml:space="preserve">Priority</t>
  </si>
  <si>
    <t xml:space="preserve">Status</t>
  </si>
  <si>
    <t xml:space="preserve">Grimor Web Tasarım</t>
  </si>
  <si>
    <t xml:space="preserve">Agency</t>
  </si>
  <si>
    <t xml:space="preserve">Istanbul (Mecidiyeköy)</t>
  </si>
  <si>
    <t xml:space="preserve">https://www.grimor.com/</t>
  </si>
  <si>
    <t xml:space="preserve">info@grimor.com</t>
  </si>
  <si>
    <t xml:space="preserve">+90 212 272 46 00</t>
  </si>
  <si>
    <t xml:space="preserve">https://www.linkedin.com/company/grimor-ajans/</t>
  </si>
  <si>
    <t xml:space="preserve">Custom corporate sites since 2004 — exactly the 'every project is bespoke' shop Yappaflow saves days for.</t>
  </si>
  <si>
    <t xml:space="preserve">Client</t>
  </si>
  <si>
    <t xml:space="preserve">High</t>
  </si>
  <si>
    <t xml:space="preserve">Kumsal Agency</t>
  </si>
  <si>
    <t xml:space="preserve">Istanbul (Maltepe)</t>
  </si>
  <si>
    <t xml:space="preserve">https://www.kumsalajans.com/</t>
  </si>
  <si>
    <t xml:space="preserve">hello@kumsalajans.com</t>
  </si>
  <si>
    <t xml:space="preserve">+90 216 706 60 64</t>
  </si>
  <si>
    <t xml:space="preserve">https://www.linkedin.com/company/kumsalajans/</t>
  </si>
  <si>
    <t xml:space="preserve">Full-service with web as a core service. Good candidate for agency-delivery angle.</t>
  </si>
  <si>
    <t xml:space="preserve">WebStudio (Web Studio Dijital Ajans)</t>
  </si>
  <si>
    <t xml:space="preserve">Istanbul (Ataşehir)</t>
  </si>
  <si>
    <t xml:space="preserve">https://www.ws.com.tr/</t>
  </si>
  <si>
    <t xml:space="preserve">info@ws.com.tr</t>
  </si>
  <si>
    <t xml:space="preserve">+90 216 469 2011</t>
  </si>
  <si>
    <t xml:space="preserve">https://www.linkedin.com/company/web-studio-dijital-ajans/</t>
  </si>
  <si>
    <t xml:space="preserve">Delivery-focused agency, also runs destek@ support queue — signals volume.</t>
  </si>
  <si>
    <t xml:space="preserve">Medium</t>
  </si>
  <si>
    <t xml:space="preserve">Penta Yazılım</t>
  </si>
  <si>
    <t xml:space="preserve">Istanbul</t>
  </si>
  <si>
    <t xml:space="preserve">https://www.pentayazilim.com/</t>
  </si>
  <si>
    <t xml:space="preserve">satis@pentayazilim.com</t>
  </si>
  <si>
    <t xml:space="preserve">+90 850 302 6950</t>
  </si>
  <si>
    <t xml:space="preserve">https://tr.linkedin.com/company/pentayazilim</t>
  </si>
  <si>
    <t xml:space="preserve">Self-described 'Turkey's Web Design Agency', 50+ staff, 1000+ projects — stretch lead but prestige if landed.</t>
  </si>
  <si>
    <t xml:space="preserve">Low</t>
  </si>
  <si>
    <t xml:space="preserve">Real Web Tasarım</t>
  </si>
  <si>
    <t xml:space="preserve">https://www.realwebtasarim.com/</t>
  </si>
  <si>
    <t xml:space="preserve">info@realwebtasarim.com</t>
  </si>
  <si>
    <t xml:space="preserve">+90 532 069 94 35</t>
  </si>
  <si>
    <t xml:space="preserve">Mid-size corporate web shop since 2012. Standard delivery pipeline — clear time-savings pitch.</t>
  </si>
  <si>
    <t xml:space="preserve">MediaClick</t>
  </si>
  <si>
    <t xml:space="preserve">https://www.mediaclick.com.tr/</t>
  </si>
  <si>
    <t xml:space="preserve">destek@mediaclick.com.tr</t>
  </si>
  <si>
    <t xml:space="preserve">+90 850 811 2530</t>
  </si>
  <si>
    <t xml:space="preserve">Award-winning Istanbul agency. destek@ is a support address — try reaching founder on LinkedIn first.</t>
  </si>
  <si>
    <t xml:space="preserve">UA Creative Agency</t>
  </si>
  <si>
    <t xml:space="preserve">https://umayajans.com/</t>
  </si>
  <si>
    <t xml:space="preserve">murat@umayajans.com</t>
  </si>
  <si>
    <t xml:space="preserve">+90 850 242 56 40</t>
  </si>
  <si>
    <t xml:space="preserve">https://www.linkedin.com/in/murattekmen/</t>
  </si>
  <si>
    <t xml:space="preserve">Murat Tekmen (Founder)</t>
  </si>
  <si>
    <t xml:space="preserve">Founded 2015, award-winning. Founder is active on LinkedIn — warm up there before emailing.</t>
  </si>
  <si>
    <t xml:space="preserve">Sentez Bilişim</t>
  </si>
  <si>
    <t xml:space="preserve">Istanbul (Başakşehir)</t>
  </si>
  <si>
    <t xml:space="preserve">https://www.sentezbilisim.com/</t>
  </si>
  <si>
    <t xml:space="preserve">info@sentezbilisim.com</t>
  </si>
  <si>
    <t xml:space="preserve">+90 212 470 00 03</t>
  </si>
  <si>
    <t xml:space="preserve">E-commerce + corporate sites, WooCommerce/OpenCart shop — could love a faster draft tool.</t>
  </si>
  <si>
    <t xml:space="preserve">Onex Software</t>
  </si>
  <si>
    <t xml:space="preserve">https://onexyazilim.com/</t>
  </si>
  <si>
    <t xml:space="preserve">info@onexyazilim.com</t>
  </si>
  <si>
    <t xml:space="preserve">+90 545 862 15 65</t>
  </si>
  <si>
    <t xml:space="preserve">Listed as a web-design company in TR directories — low-friction cold email target.</t>
  </si>
  <si>
    <t xml:space="preserve">432 Design Studio</t>
  </si>
  <si>
    <t xml:space="preserve">https://432designstudio.com/</t>
  </si>
  <si>
    <t xml:space="preserve">iletisim@432tasarim.com</t>
  </si>
  <si>
    <t xml:space="preserve">+90 212 243 53 63</t>
  </si>
  <si>
    <t xml:space="preserve">Design-forward studio, the type that will judge generator OUTPUT — lead with the demo site.</t>
  </si>
  <si>
    <t xml:space="preserve">1MM</t>
  </si>
  <si>
    <t xml:space="preserve">https://1mm.com.tr/</t>
  </si>
  <si>
    <t xml:space="preserve">info@1mm.com.tr</t>
  </si>
  <si>
    <t xml:space="preserve">0850 888 8520</t>
  </si>
  <si>
    <t xml:space="preserve">Small/mid web shop — standard delivery pitch.</t>
  </si>
  <si>
    <t xml:space="preserve">Istanbul Webmaster</t>
  </si>
  <si>
    <t xml:space="preserve">https://istanbulwebmaster.com/</t>
  </si>
  <si>
    <t xml:space="preserve">info@istanbulwebmaster.com</t>
  </si>
  <si>
    <t xml:space="preserve">+90 212 576 3000</t>
  </si>
  <si>
    <t xml:space="preserve">Generalist TR web firm — low-effort cold outreach.</t>
  </si>
  <si>
    <t xml:space="preserve">Betatek</t>
  </si>
  <si>
    <t xml:space="preserve">Istanbul (Beşiktaş)</t>
  </si>
  <si>
    <t xml:space="preserve">https://www.betatek.com/</t>
  </si>
  <si>
    <t xml:space="preserve">info@betatek.com</t>
  </si>
  <si>
    <t xml:space="preserve">+90 212 401 4122</t>
  </si>
  <si>
    <t xml:space="preserve">Serves Yapı Kredi, Deloitte, Cartoon Network — big-ticket shop. Partnership angle may fit better than client.</t>
  </si>
  <si>
    <t xml:space="preserve">Partnership</t>
  </si>
  <si>
    <t xml:space="preserve">TekTurkey</t>
  </si>
  <si>
    <t xml:space="preserve">https://tekturkey.com/</t>
  </si>
  <si>
    <t xml:space="preserve">sales@tekturkey.com</t>
  </si>
  <si>
    <t xml:space="preserve">+90 212 452 5057</t>
  </si>
  <si>
    <t xml:space="preserve">Web design + marketing shop. sales@ = warm-ish inbound address.</t>
  </si>
  <si>
    <t xml:space="preserve">VantaWorks</t>
  </si>
  <si>
    <t xml:space="preserve">Istanbul (Kağıthane)</t>
  </si>
  <si>
    <t xml:space="preserve">https://vantaworks.com/</t>
  </si>
  <si>
    <t xml:space="preserve">info@vantaworks.com</t>
  </si>
  <si>
    <t xml:space="preserve">+90 850 885 30 71</t>
  </si>
  <si>
    <t xml:space="preserve">https://www.linkedin.com/company/vantaworks/</t>
  </si>
  <si>
    <t xml:space="preserve">~6-person team doing corporate web + CRM/ERP — perfect size for Yappaflow to feel immediate.</t>
  </si>
  <si>
    <t xml:space="preserve">DIJICREA</t>
  </si>
  <si>
    <t xml:space="preserve">Istanbul (Kadıköy)</t>
  </si>
  <si>
    <t xml:space="preserve">https://dijicrea.com/</t>
  </si>
  <si>
    <t xml:space="preserve">info@dijicrea.com</t>
  </si>
  <si>
    <t xml:space="preserve">+90 216 771 7796</t>
  </si>
  <si>
    <t xml:space="preserve">https://www.linkedin.com/company/dijicrea</t>
  </si>
  <si>
    <t xml:space="preserve">23-person agency with an 'AI-forward' positioning — warm audience for an AI-driven generator.</t>
  </si>
  <si>
    <t xml:space="preserve">Webintek</t>
  </si>
  <si>
    <t xml:space="preserve">Istanbul (Kartal)</t>
  </si>
  <si>
    <t xml:space="preserve">https://webintek.com.tr/</t>
  </si>
  <si>
    <t xml:space="preserve">bilgi@webintek.com.tr</t>
  </si>
  <si>
    <t xml:space="preserve">+90 216 606 03 99</t>
  </si>
  <si>
    <t xml:space="preserve">https://tr.linkedin.com/company/webintekcomtr</t>
  </si>
  <si>
    <t xml:space="preserve">Corporate transformation services, remote delivery model — less friction to try a new tool.</t>
  </si>
  <si>
    <t xml:space="preserve">Dijitanya</t>
  </si>
  <si>
    <t xml:space="preserve">https://www.dijitanya.com/</t>
  </si>
  <si>
    <t xml:space="preserve">+90 539 923 7385</t>
  </si>
  <si>
    <t xml:space="preserve">Kürşad Sualp</t>
  </si>
  <si>
    <t xml:space="preserve">Boutique performance-marketing agency, 10+ experts. No public email — reach Kürşad via WhatsApp/LinkedIn.</t>
  </si>
  <si>
    <t xml:space="preserve">Hoops Agency</t>
  </si>
  <si>
    <t xml:space="preserve">https://hoops.com.tr/</t>
  </si>
  <si>
    <t xml:space="preserve">Creative + social + digital (360). Partnership framing lands better than client here. Use contact form.</t>
  </si>
  <si>
    <t xml:space="preserve">Artnova Creative</t>
  </si>
  <si>
    <t xml:space="preserve">Platform Partner</t>
  </si>
  <si>
    <t xml:space="preserve">Istanbul (Pendik)</t>
  </si>
  <si>
    <t xml:space="preserve">https://www.artnovacreative.com/</t>
  </si>
  <si>
    <t xml:space="preserve">+90 547 180 18 80</t>
  </si>
  <si>
    <t xml:space="preserve">https://tr.linkedin.com/company/artnovacreative</t>
  </si>
  <si>
    <t xml:space="preserve">Official ikas partner agency. PARTNERSHIP angle: Yappaflow's ikas export could be their new default.</t>
  </si>
  <si>
    <t xml:space="preserve">PATH</t>
  </si>
  <si>
    <t xml:space="preserve">https://path.com.tr/</t>
  </si>
  <si>
    <t xml:space="preserve">info@path.com.tr</t>
  </si>
  <si>
    <t xml:space="preserve">+90 536 240 24 24</t>
  </si>
  <si>
    <t xml:space="preserve">https://www.linkedin.com/company/pathdevelop/</t>
  </si>
  <si>
    <t xml:space="preserve">Shopify Plus Partner — pitch Yappaflow's Shopify export as a client-onboarding accelerator.</t>
  </si>
  <si>
    <t xml:space="preserve">Nodus Works</t>
  </si>
  <si>
    <t xml:space="preserve">https://nodusworks.com/</t>
  </si>
  <si>
    <t xml:space="preserve">hub@nodusworks.com</t>
  </si>
  <si>
    <t xml:space="preserve">+90 850 888 2815</t>
  </si>
  <si>
    <t xml:space="preserve">https://linkedin.com/company/nodusworks</t>
  </si>
  <si>
    <t xml:space="preserve">Efe Gündüz (Founder)</t>
  </si>
  <si>
    <t xml:space="preserve">Shopify partner, one of the few in TR — partnership integration is the lead hook.</t>
  </si>
  <si>
    <t xml:space="preserve">DigitalPals</t>
  </si>
  <si>
    <t xml:space="preserve">Istanbul (Maslak)</t>
  </si>
  <si>
    <t xml:space="preserve">https://digitalpals.com/</t>
  </si>
  <si>
    <t xml:space="preserve">hello@digitalpals.com</t>
  </si>
  <si>
    <t xml:space="preserve">+90 538 646 16 79</t>
  </si>
  <si>
    <t xml:space="preserve">https://www.linkedin.com/company/digitalpals/</t>
  </si>
  <si>
    <t xml:space="preserve">Shopify + growth-marketing partner; Maslak Kolektif House address = startup-friendly culture.</t>
  </si>
  <si>
    <t xml:space="preserve">Shopiuzman</t>
  </si>
  <si>
    <t xml:space="preserve">https://shopiuzman.com/</t>
  </si>
  <si>
    <t xml:space="preserve">info@shopiuzman.com</t>
  </si>
  <si>
    <t xml:space="preserve">+90 538 036 86 52</t>
  </si>
  <si>
    <t xml:space="preserve">Shopify-only certified partner, small team — ideal early adopter for Shopify export.</t>
  </si>
  <si>
    <t xml:space="preserve">Qreate Dijital</t>
  </si>
  <si>
    <t xml:space="preserve">Istanbul (Şişli) + Ankara</t>
  </si>
  <si>
    <t xml:space="preserve">https://qreatedijital.com/</t>
  </si>
  <si>
    <t xml:space="preserve">merhaba@qreatedijital.com</t>
  </si>
  <si>
    <t xml:space="preserve">+90 850 308 6002</t>
  </si>
  <si>
    <t xml:space="preserve">https://www.linkedin.com/company/qreate-dijital/</t>
  </si>
  <si>
    <t xml:space="preserve">360° e-commerce + ikas partner — pitch partnership on ikas export once it ships.</t>
  </si>
  <si>
    <t xml:space="preserve">Blue Ajans</t>
  </si>
  <si>
    <t xml:space="preserve">Ankara (Yenimahalle)</t>
  </si>
  <si>
    <t xml:space="preserve">https://www.blueajans.com.tr/</t>
  </si>
  <si>
    <t xml:space="preserve">+90 553 939 25 83</t>
  </si>
  <si>
    <t xml:space="preserve">https://www.linkedin.com/company/blue-ajans/</t>
  </si>
  <si>
    <t xml:space="preserve">Ankara-based web + digital marketing. Use LinkedIn DM + contact form, no public email.</t>
  </si>
  <si>
    <t xml:space="preserve">medyANKA</t>
  </si>
  <si>
    <t xml:space="preserve">Ankara (Söğütözü)</t>
  </si>
  <si>
    <t xml:space="preserve">https://www.medyanka.com/</t>
  </si>
  <si>
    <t xml:space="preserve">bilgi@medyanka.com</t>
  </si>
  <si>
    <t xml:space="preserve">+90 312 955 05 91</t>
  </si>
  <si>
    <t xml:space="preserve">https://www.linkedin.com/company/medyanka</t>
  </si>
  <si>
    <t xml:space="preserve">Tolga Aksun (Founder)</t>
  </si>
  <si>
    <t xml:space="preserve">Founder-led shop, 15+ years — named founder means you can write a personal first-email.</t>
  </si>
  <si>
    <t xml:space="preserve">Nano Medya</t>
  </si>
  <si>
    <t xml:space="preserve">Ankara (Çankaya)</t>
  </si>
  <si>
    <t xml:space="preserve">https://www.nanomedya.com.tr/</t>
  </si>
  <si>
    <t xml:space="preserve">info@nanomedya.com</t>
  </si>
  <si>
    <t xml:space="preserve">+90 532 720 32 25</t>
  </si>
  <si>
    <t xml:space="preserve">https://tr.linkedin.com/company/nano-medya-yazilim-ve-reklam-ajansi</t>
  </si>
  <si>
    <t xml:space="preserve">15+ years, 500+ clients, strong volume — classic 'delivery pipeline' target.</t>
  </si>
  <si>
    <t xml:space="preserve">Mui Medya</t>
  </si>
  <si>
    <t xml:space="preserve">Ankara</t>
  </si>
  <si>
    <t xml:space="preserve">https://muimedya.com/</t>
  </si>
  <si>
    <t xml:space="preserve">info@muimedya.com</t>
  </si>
  <si>
    <t xml:space="preserve">+90 312 684 8000</t>
  </si>
  <si>
    <t xml:space="preserve">Dijital ajans, WhatsApp-first — pitch via WhatsApp + email together.</t>
  </si>
  <si>
    <t xml:space="preserve">İzmir Web Ajans</t>
  </si>
  <si>
    <t xml:space="preserve">İzmir (Balçova)</t>
  </si>
  <si>
    <t xml:space="preserve">https://www.izmirwebajans.com/</t>
  </si>
  <si>
    <t xml:space="preserve">info@izmirwebajans.com</t>
  </si>
  <si>
    <t xml:space="preserve">+90 554 363 14 91</t>
  </si>
  <si>
    <t xml:space="preserve">Local İzmir shop — first-message warmth: 'İzmir'li bir tool olarak...'</t>
  </si>
  <si>
    <t xml:space="preserve">Arce Web Ajans</t>
  </si>
  <si>
    <t xml:space="preserve">Manisa (Celal Bayar Teknopark)</t>
  </si>
  <si>
    <t xml:space="preserve">https://www.arcewebajans.com/</t>
  </si>
  <si>
    <t xml:space="preserve">info@arceyazilim.com</t>
  </si>
  <si>
    <t xml:space="preserve">+90 533 259 96 97</t>
  </si>
  <si>
    <t xml:space="preserve">Teknopark-based — early-adopter leaning. Likely small team.</t>
  </si>
  <si>
    <t xml:space="preserve">İzmir Web</t>
  </si>
  <si>
    <t xml:space="preserve">İzmir (Bayraklı)</t>
  </si>
  <si>
    <t xml:space="preserve">https://www.izmirweb.com/</t>
  </si>
  <si>
    <t xml:space="preserve">info@izmirweb.com</t>
  </si>
  <si>
    <t xml:space="preserve">+90 535 421 41 33</t>
  </si>
  <si>
    <t xml:space="preserve">Serves internationally from Bayraklı Tower. Delivery-speed pitch.</t>
  </si>
  <si>
    <t xml:space="preserve">Mudiweb</t>
  </si>
  <si>
    <t xml:space="preserve">https://www.mudiweb.com/</t>
  </si>
  <si>
    <t xml:space="preserve">info@mudiweb.com</t>
  </si>
  <si>
    <t xml:space="preserve">+90 532 770 46 23</t>
  </si>
  <si>
    <t xml:space="preserve">Corporate web + custom software since 2008, Google Partner. Decent fit.</t>
  </si>
  <si>
    <t xml:space="preserve">Digital Karınca</t>
  </si>
  <si>
    <t xml:space="preserve">İzmir (Karşıyaka)</t>
  </si>
  <si>
    <t xml:space="preserve">https://digitalkarinca.com/</t>
  </si>
  <si>
    <t xml:space="preserve">bilgi@digitalkarinca.com</t>
  </si>
  <si>
    <t xml:space="preserve">+90 553 315 62 10</t>
  </si>
  <si>
    <t xml:space="preserve">Notable logos (BCG, BASF, Siemens) — bigger clients = less agile, partnership angle.</t>
  </si>
  <si>
    <t xml:space="preserve">1007 Medya</t>
  </si>
  <si>
    <t xml:space="preserve">İzmir</t>
  </si>
  <si>
    <t xml:space="preserve">https://www.1007medya.com/</t>
  </si>
  <si>
    <t xml:space="preserve">info@1007medya.com</t>
  </si>
  <si>
    <t xml:space="preserve">+90 533 260 51 39</t>
  </si>
  <si>
    <t xml:space="preserve">https://www.linkedin.com/company/1007medya</t>
  </si>
  <si>
    <t xml:space="preserve">10+ years of SMB-focused web work in İzmir — clear fit for freelancer-like delivery.</t>
  </si>
  <si>
    <t xml:space="preserve">OVARSA Yazılım</t>
  </si>
  <si>
    <t xml:space="preserve">https://www.ovarsa.com/</t>
  </si>
  <si>
    <t xml:space="preserve">+90 232 332 37 76</t>
  </si>
  <si>
    <t xml:space="preserve">https://tr.linkedin.com/in/ovarsa-yazılım-teknolojileri-976a8a186</t>
  </si>
  <si>
    <t xml:space="preserve">İzmir + Manisa offices. No public email — LinkedIn DM first.</t>
  </si>
  <si>
    <t xml:space="preserve">AWA Web Ajans</t>
  </si>
  <si>
    <t xml:space="preserve">Antalya (Muratpaşa)</t>
  </si>
  <si>
    <t xml:space="preserve">https://awawebajans.com/</t>
  </si>
  <si>
    <t xml:space="preserve">info@awawebajans.com</t>
  </si>
  <si>
    <t xml:space="preserve">+90 242 324 03 54</t>
  </si>
  <si>
    <t xml:space="preserve">https://www.linkedin.com/company/awa-web-ajans</t>
  </si>
  <si>
    <t xml:space="preserve">100+ clients, London office — modest size, good outreach target.</t>
  </si>
  <si>
    <t xml:space="preserve">EC Tasarım</t>
  </si>
  <si>
    <t xml:space="preserve">https://www.ectasarim.com/</t>
  </si>
  <si>
    <t xml:space="preserve">info@ectasarim.com</t>
  </si>
  <si>
    <t xml:space="preserve">+90 532 214 54 63</t>
  </si>
  <si>
    <t xml:space="preserve">SEO + Google Ads + web. Typical small agency workload Yappaflow compresses.</t>
  </si>
  <si>
    <t xml:space="preserve">Doubleyou Agency</t>
  </si>
  <si>
    <t xml:space="preserve">Antalya</t>
  </si>
  <si>
    <t xml:space="preserve">https://doubleyou.agency/</t>
  </si>
  <si>
    <t xml:space="preserve">hello@doubleyou.agency</t>
  </si>
  <si>
    <t xml:space="preserve">+90 242 247 66 66</t>
  </si>
  <si>
    <t xml:space="preserve">Digital + AI-solutions positioning — AI generator pitch should resonate.</t>
  </si>
  <si>
    <t xml:space="preserve">Maxantalya</t>
  </si>
  <si>
    <t xml:space="preserve">https://maxantalya.com/</t>
  </si>
  <si>
    <t xml:space="preserve">info@maxantalya.com</t>
  </si>
  <si>
    <t xml:space="preserve">+90 530 285 08 87</t>
  </si>
  <si>
    <t xml:space="preserve">SMB-focused Antalya shop. Straightforward client pitch.</t>
  </si>
  <si>
    <t xml:space="preserve">Antalya Web Tasarımcı (dijitalmedya07)</t>
  </si>
  <si>
    <t xml:space="preserve">https://www.antalyawebtasarimci.com/</t>
  </si>
  <si>
    <t xml:space="preserve">info@dijitalmedya07.com</t>
  </si>
  <si>
    <t xml:space="preserve">+90 534 320 58 07</t>
  </si>
  <si>
    <t xml:space="preserve">Google Ads partner, focused on local SMBs — fast-turnaround shop.</t>
  </si>
  <si>
    <t xml:space="preserve">Creamake</t>
  </si>
  <si>
    <t xml:space="preserve">Antalya (HQ) + Istanbul + London</t>
  </si>
  <si>
    <t xml:space="preserve">https://creamake.com/</t>
  </si>
  <si>
    <t xml:space="preserve">info@creamake.com</t>
  </si>
  <si>
    <t xml:space="preserve">+90 553 663 07 43</t>
  </si>
  <si>
    <t xml:space="preserve">https://www.linkedin.com/company/creamake</t>
  </si>
  <si>
    <t xml:space="preserve">Authorized ikas partner, 100+ stores launched. PARTNERSHIP angle on ikas export.</t>
  </si>
  <si>
    <t xml:space="preserve">GEON Creative Workshop</t>
  </si>
  <si>
    <t xml:space="preserve">Bursa</t>
  </si>
  <si>
    <t xml:space="preserve">https://www.geonajans.com/</t>
  </si>
  <si>
    <t xml:space="preserve">+90 224 443 22 23</t>
  </si>
  <si>
    <t xml:space="preserve">Bursa web + software shop. No public email — call or use contact form.</t>
  </si>
  <si>
    <t xml:space="preserve">Doruk Sucuka</t>
  </si>
  <si>
    <t xml:space="preserve">Freelancer</t>
  </si>
  <si>
    <t xml:space="preserve">https://www.doruksucuka.com.tr/</t>
  </si>
  <si>
    <t xml:space="preserve">hello@doruksucuka.com.tr</t>
  </si>
  <si>
    <t xml:space="preserve">+90 532 157 20 66</t>
  </si>
  <si>
    <t xml:space="preserve">https://www.linkedin.com/in/doruk-sucuka-78b66151</t>
  </si>
  <si>
    <t xml:space="preserve">Freelance since 2004 + explicitly positions as 'AI-destekli dijital çözümler' — warmest possible audience.</t>
  </si>
  <si>
    <t xml:space="preserve">Ferdi Tarakçı</t>
  </si>
  <si>
    <t xml:space="preserve">https://ferditarakci.com/</t>
  </si>
  <si>
    <t xml:space="preserve">bilgi@ferditarakci.com</t>
  </si>
  <si>
    <t xml:space="preserve">+90 546 831 20 73</t>
  </si>
  <si>
    <t xml:space="preserve">https://www.linkedin.com/in/ferditarakci/</t>
  </si>
  <si>
    <t xml:space="preserve">Vue/React frontend freelancer — technical enough to self-serve Yappaflow output.</t>
  </si>
  <si>
    <t xml:space="preserve">Tezel Zenginoğlu</t>
  </si>
  <si>
    <t xml:space="preserve">https://www.tezelzenginoglu.com/</t>
  </si>
  <si>
    <t xml:space="preserve">tezelzenginoglu@gmail.com</t>
  </si>
  <si>
    <t xml:space="preserve">+90 553 558 90 41</t>
  </si>
  <si>
    <t xml:space="preserve">https://www.linkedin.com/in/tezel-zenginoğlu/</t>
  </si>
  <si>
    <t xml:space="preserve">Freelance web + graphic designer, portfolio-led. Care about output quality, so lead with demo.</t>
  </si>
  <si>
    <t xml:space="preserve">Emrah Özyürek (ankarawt)</t>
  </si>
  <si>
    <t xml:space="preserve">https://www.ankarawt.com/</t>
  </si>
  <si>
    <t xml:space="preserve">info@ankarawt.com</t>
  </si>
  <si>
    <t xml:space="preserve">+90 543 584 76 21</t>
  </si>
  <si>
    <t xml:space="preserve">Emrah Özyürek</t>
  </si>
  <si>
    <t xml:space="preserve">SEO-focused freelance web designer — Yappaflow saves him the boring parts of each build.</t>
  </si>
  <si>
    <t xml:space="preserve">Emre Alkaç</t>
  </si>
  <si>
    <t xml:space="preserve">İzmir (Bornova)</t>
  </si>
  <si>
    <t xml:space="preserve">https://www.emrealkac.com/</t>
  </si>
  <si>
    <t xml:space="preserve">ivan@emrealkac.com</t>
  </si>
  <si>
    <t xml:space="preserve">+90 505 257 59 25</t>
  </si>
  <si>
    <t xml:space="preserve">https://www.linkedin.com/in/emre-alkac/</t>
  </si>
  <si>
    <t xml:space="preserve">Freelance graphic + web. Design-side freelancer — will judge on aesthetics.</t>
  </si>
  <si>
    <t xml:space="preserve">Gökmen Bekar</t>
  </si>
  <si>
    <t xml:space="preserve">Turkey</t>
  </si>
  <si>
    <t xml:space="preserve">https://www.gokmenbekar.com/</t>
  </si>
  <si>
    <t xml:space="preserve">info@gokmenbekar.com</t>
  </si>
  <si>
    <t xml:space="preserve">https://www.linkedin.com/in/gokmenbekar/</t>
  </si>
  <si>
    <t xml:space="preserve">Senior UI/UX designer + frontend. High craft expectation; use as design-focused beta user.</t>
  </si>
  <si>
    <t xml:space="preserve">Celalettin Bedir</t>
  </si>
  <si>
    <t xml:space="preserve">Istanbul (Beyoğlu)</t>
  </si>
  <si>
    <t xml:space="preserve">https://www.celalettinbedir.com/</t>
  </si>
  <si>
    <t xml:space="preserve">info@celalettinbedir.com</t>
  </si>
  <si>
    <t xml:space="preserve">+90 535 344 58 74</t>
  </si>
  <si>
    <t xml:space="preserve">https://www.linkedin.com/in/celalettin-bedir-a38284ab/</t>
  </si>
  <si>
    <t xml:space="preserve">Freelance web dev — clean target.</t>
  </si>
  <si>
    <t xml:space="preserve">Cem Sevinç</t>
  </si>
  <si>
    <t xml:space="preserve">https://cemsevinc.com/</t>
  </si>
  <si>
    <t xml:space="preserve">+90 532 631 70 83</t>
  </si>
  <si>
    <t xml:space="preserve">Freelance web software + design. No public email — WhatsApp/SMS first.</t>
  </si>
  <si>
    <t xml:space="preserve">Onur Turkay</t>
  </si>
  <si>
    <t xml:space="preserve">https://www.onurturkay.com.tr/</t>
  </si>
  <si>
    <t xml:space="preserve">info@onurturkay.com.tr</t>
  </si>
  <si>
    <t xml:space="preserve">+90 544 221 4161</t>
  </si>
  <si>
    <t xml:space="preserve">Freelance web designer — standard SMB-site workload.</t>
  </si>
  <si>
    <t xml:space="preserve">Uğur Topuz</t>
  </si>
  <si>
    <t xml:space="preserve">https://www.ugurtopuz.com/</t>
  </si>
  <si>
    <t xml:space="preserve">100+ websites across hotel/university/automotive — high volume, time-saving pitch. Email via form.</t>
  </si>
  <si>
    <t xml:space="preserve">Adnan Saykı</t>
  </si>
  <si>
    <t xml:space="preserve">https://www.adnansayki.com/</t>
  </si>
  <si>
    <t xml:space="preserve">asayki@gmail.com</t>
  </si>
  <si>
    <t xml:space="preserve">+90 537 419 43 23</t>
  </si>
  <si>
    <t xml:space="preserve">Self-labeled 'Turkey's first SEO expert', freelance web + SEO — pitch Yappaflow sites' SEO readiness.</t>
  </si>
  <si>
    <t xml:space="preserve">Ferdi Taraçcı (Armut.com top-rated)</t>
  </si>
  <si>
    <t xml:space="preserve">https://armut.com/istanbul-web-tasarim</t>
  </si>
  <si>
    <t xml:space="preserve">Armut.com itself is the distribution channel for many Turkish solo web pros — also worth a partnership DM.</t>
  </si>
  <si>
    <t xml:space="preserve">Bionluk freelancer pool (web yazılım)</t>
  </si>
  <si>
    <t xml:space="preserve">Online (TR)</t>
  </si>
  <si>
    <t xml:space="preserve">https://bionluk.com/freelancer-bul/web-yazilim</t>
  </si>
  <si>
    <t xml:space="preserve">Bionluk is Turkey's largest freelance marketplace. Not a single lead — earmark for paid-ad + community post.</t>
  </si>
  <si>
    <t xml:space="preserve">Ait Istanbul</t>
  </si>
  <si>
    <t xml:space="preserve">https://aitistanbul.com/</t>
  </si>
  <si>
    <t xml:space="preserve">hello@aitistanbul.com</t>
  </si>
  <si>
    <t xml:space="preserve">https://www.linkedin.com/company/aitistanbul/</t>
  </si>
  <si>
    <t xml:space="preserve">Eylül Günaydınlar (Founder &amp; ECD)</t>
  </si>
  <si>
    <t xml:space="preserve">Independent creative studio, brand-first. Founder-led — write a personal note, not a mass email.</t>
  </si>
  <si>
    <t xml:space="preserve">PEP Brands</t>
  </si>
  <si>
    <t xml:space="preserve">https://pepistanbul.com/</t>
  </si>
  <si>
    <t xml:space="preserve">hello@pepistanbul.com</t>
  </si>
  <si>
    <t xml:space="preserve">https://www.linkedin.com/company/pep-brand-agency/</t>
  </si>
  <si>
    <t xml:space="preserve">Brand agency; small team. Pitch Yappaflow as 'first draft of every client microsite'.</t>
  </si>
  <si>
    <t xml:space="preserve">Kreatif (Yeni Nesil İletişim)</t>
  </si>
  <si>
    <t xml:space="preserve">Istanbul (Şişli)</t>
  </si>
  <si>
    <t xml:space="preserve">https://kreatif.net/</t>
  </si>
  <si>
    <t xml:space="preserve">contact@kreatif.net</t>
  </si>
  <si>
    <t xml:space="preserve">+90 212 213 65 55</t>
  </si>
  <si>
    <t xml:space="preserve">https://www.linkedin.com/company/1926746/</t>
  </si>
  <si>
    <t xml:space="preserve">Multidisciplinary strategy + marketing + design shop — good partnership-angle candidate for microsite work.</t>
  </si>
  <si>
    <t xml:space="preserve">MARK-A</t>
  </si>
  <si>
    <t xml:space="preserve">Istanbul + Afyon + Kuşadası</t>
  </si>
  <si>
    <t xml:space="preserve">https://mark-a.com.tr/</t>
  </si>
  <si>
    <t xml:space="preserve">info@mark-a.com.tr</t>
  </si>
  <si>
    <t xml:space="preserve">+90 212 982 82 89</t>
  </si>
  <si>
    <t xml:space="preserve">https://www.linkedin.com/company/markacomtr</t>
  </si>
  <si>
    <t xml:space="preserve">Mehmet Dinler (Founder)</t>
  </si>
  <si>
    <t xml:space="preserve">Founder wrote a digital-marketing book; receptive to AI tooling. Warm founder-level intro.</t>
  </si>
  <si>
    <t xml:space="preserve">Fikir Tasarım Atölyesi</t>
  </si>
  <si>
    <t xml:space="preserve">Istanbul (Levent)</t>
  </si>
  <si>
    <t xml:space="preserve">https://fikirtasarimatolyesi.com/</t>
  </si>
  <si>
    <t xml:space="preserve">+90 533 252 5691</t>
  </si>
  <si>
    <t xml:space="preserve">https://www.linkedin.com/company/fikir-tasar%C4%B1m-at%C3%B6lyesi</t>
  </si>
  <si>
    <t xml:space="preserve">360° ad agency since 2014. No public email on site — use LinkedIn company DM + WhatsApp.</t>
  </si>
  <si>
    <t xml:space="preserve">Poligon Interactive</t>
  </si>
  <si>
    <t xml:space="preserve">Istanbul + Canada</t>
  </si>
  <si>
    <t xml:space="preserve">https://www.poligoninteractive.com/</t>
  </si>
  <si>
    <t xml:space="preserve">https://www.linkedin.com/company/poligoninteractive-tr/</t>
  </si>
  <si>
    <t xml:space="preserve">Renault/Nissan/Barilla clients — larger shop, partnership angle for microsite delivery.</t>
  </si>
  <si>
    <t xml:space="preserve">Ceviz Bilişim</t>
  </si>
  <si>
    <t xml:space="preserve">Istanbul (Esenyurt)</t>
  </si>
  <si>
    <t xml:space="preserve">https://cevizbilisim.com.tr/</t>
  </si>
  <si>
    <t xml:space="preserve">info@cevizbilisim.com.tr</t>
  </si>
  <si>
    <t xml:space="preserve">+90 212 807 00 06</t>
  </si>
  <si>
    <t xml:space="preserve">https://www.linkedin.com/showcase/ceviz-bilisim/</t>
  </si>
  <si>
    <t xml:space="preserve">Web + e-commerce + SEO shop. Classic mid-size delivery target for the client angle.</t>
  </si>
  <si>
    <t xml:space="preserve">Master Tasarım</t>
  </si>
  <si>
    <t xml:space="preserve">Istanbul + Amsterdam</t>
  </si>
  <si>
    <t xml:space="preserve">https://mastertasarim.com/</t>
  </si>
  <si>
    <t xml:space="preserve">+90 850 242 4 393</t>
  </si>
  <si>
    <t xml:space="preserve">Google Partner, 750+ references, multi-office. Partnership angle — pitch microsite pipeline.</t>
  </si>
  <si>
    <t xml:space="preserve">Vagonmedya</t>
  </si>
  <si>
    <t xml:space="preserve">Kocaeli (Başiskele)</t>
  </si>
  <si>
    <t xml:space="preserve">https://vagonmedya.com/</t>
  </si>
  <si>
    <t xml:space="preserve">iletisim@vagonmedya.com</t>
  </si>
  <si>
    <t xml:space="preserve">Runs multiple internet projects, ~8M monthly uniques. Partnership angle — they scale content, we scale sites.</t>
  </si>
  <si>
    <t xml:space="preserve">Ali Tarhan Dijital Atölye</t>
  </si>
  <si>
    <t xml:space="preserve">https://www.alitarhan.com.tr/</t>
  </si>
  <si>
    <t xml:space="preserve">ad@alitarhan.com.tr</t>
  </si>
  <si>
    <t xml:space="preserve">+90 532 523 82 83</t>
  </si>
  <si>
    <t xml:space="preserve">Ali Tarhan (Director)</t>
  </si>
  <si>
    <t xml:space="preserve">Director-led boutique ad shop; ad@ is his direct address. Personal first-email possible.</t>
  </si>
  <si>
    <t xml:space="preserve">VEMEDYA</t>
  </si>
  <si>
    <t xml:space="preserve">Gaziantep (Teknopark)</t>
  </si>
  <si>
    <t xml:space="preserve">https://vemedya.com/</t>
  </si>
  <si>
    <t xml:space="preserve">info@vemedya.com</t>
  </si>
  <si>
    <t xml:space="preserve">+90 342 221 03 70</t>
  </si>
  <si>
    <t xml:space="preserve">20 years, Teknopark-based Gaziantep shop. Teknopark tenants are usually early-adopter friendly.</t>
  </si>
  <si>
    <t xml:space="preserve">Aydıngüler Medya</t>
  </si>
  <si>
    <t xml:space="preserve">Gaziantep (Şehitkamil)</t>
  </si>
  <si>
    <t xml:space="preserve">https://aydingulermedya.com/</t>
  </si>
  <si>
    <t xml:space="preserve">info@aydingulermedya.com</t>
  </si>
  <si>
    <t xml:space="preserve">+90 538 581 22 12</t>
  </si>
  <si>
    <t xml:space="preserve">Small web + SEO + social agency. Straightforward client pitch; easy to land a meeting.</t>
  </si>
  <si>
    <t xml:space="preserve">Kaktüs Creative (Kaktüs Medya)</t>
  </si>
  <si>
    <t xml:space="preserve">Gaziantep</t>
  </si>
  <si>
    <t xml:space="preserve">https://kaktusmedya.com/</t>
  </si>
  <si>
    <t xml:space="preserve">brain@kaktusmedya.com</t>
  </si>
  <si>
    <t xml:space="preserve">+90 342 255 55 43</t>
  </si>
  <si>
    <t xml:space="preserve">https://tr.linkedin.com/company/kaktusmedya</t>
  </si>
  <si>
    <t xml:space="preserve">Servet (Founder)</t>
  </si>
  <si>
    <t xml:space="preserve">Since 2013. brain@ is a friendly inbound inbox — Yappaflow is a natural 'speed-up delivery' fit.</t>
  </si>
  <si>
    <t xml:space="preserve">Memsidea Dijital Ajans</t>
  </si>
  <si>
    <t xml:space="preserve">https://memsidea.com/</t>
  </si>
  <si>
    <t xml:space="preserve">hello@memsidea.com</t>
  </si>
  <si>
    <t xml:space="preserve">+90 507 487 2098</t>
  </si>
  <si>
    <t xml:space="preserve">187+ brands, 8 years, web+mobile+e-commerce — active delivery shop.</t>
  </si>
  <si>
    <t xml:space="preserve">Gazisoft Yazılım</t>
  </si>
  <si>
    <t xml:space="preserve">Gaziantep (OSB Teknokent)</t>
  </si>
  <si>
    <t xml:space="preserve">https://gazisoft.com.tr/</t>
  </si>
  <si>
    <t xml:space="preserve">info@gazisoft.com.tr</t>
  </si>
  <si>
    <t xml:space="preserve">+90 532 503 29 09</t>
  </si>
  <si>
    <t xml:space="preserve">Teknokent-based software + web shop. Leans dev-heavy — they'll appreciate the ZIP export.</t>
  </si>
  <si>
    <t xml:space="preserve">Seven Ajans (Seven Creative Design)</t>
  </si>
  <si>
    <t xml:space="preserve">Kayseri (Melikgazi)</t>
  </si>
  <si>
    <t xml:space="preserve">https://www.sevenajans.com/</t>
  </si>
  <si>
    <t xml:space="preserve">info@sevenajans.com</t>
  </si>
  <si>
    <t xml:space="preserve">+90 532 163 38 82</t>
  </si>
  <si>
    <t xml:space="preserve">SMB + manufacturing-client focus, offers 1-year support guarantee — values reliable delivery.</t>
  </si>
  <si>
    <t xml:space="preserve">Galaksi Medya</t>
  </si>
  <si>
    <t xml:space="preserve">Kayseri (Kocasinan)</t>
  </si>
  <si>
    <t xml:space="preserve">https://galaksimedya.com/</t>
  </si>
  <si>
    <t xml:space="preserve">info@galaksimedya.com</t>
  </si>
  <si>
    <t xml:space="preserve">+90 546 847 69 20</t>
  </si>
  <si>
    <t xml:space="preserve">Since 2008. Small, stable regional shop — easy cold-email target.</t>
  </si>
  <si>
    <t xml:space="preserve">Medyatör İnteraktif</t>
  </si>
  <si>
    <t xml:space="preserve">Kayseri (Erciyes Teknopark)</t>
  </si>
  <si>
    <t xml:space="preserve">https://medyator.net/</t>
  </si>
  <si>
    <t xml:space="preserve">info@medyator.net</t>
  </si>
  <si>
    <t xml:space="preserve">+90 352 224 42 20</t>
  </si>
  <si>
    <t xml:space="preserve">https://www.linkedin.com/in/medyator/</t>
  </si>
  <si>
    <t xml:space="preserve">Erciyes Teknopark tenant — academic-adjacent, curious crowd; solid demo-first target.</t>
  </si>
  <si>
    <t xml:space="preserve">Çağ Medya</t>
  </si>
  <si>
    <t xml:space="preserve">Mersin (HQ) + Istanbul</t>
  </si>
  <si>
    <t xml:space="preserve">https://cagmedya.com/</t>
  </si>
  <si>
    <t xml:space="preserve">info@cagmedya.com</t>
  </si>
  <si>
    <t xml:space="preserve">+90 324 336 68 50</t>
  </si>
  <si>
    <t xml:space="preserve">20-yr Mersin shop with Istanbul branch — multi-city delivery where ZIP hand-off shines.</t>
  </si>
  <si>
    <t xml:space="preserve">Öncü Web Tasarım</t>
  </si>
  <si>
    <t xml:space="preserve">Denizli</t>
  </si>
  <si>
    <t xml:space="preserve">https://www.oncuweb.com/</t>
  </si>
  <si>
    <t xml:space="preserve">info@oncuweb.com</t>
  </si>
  <si>
    <t xml:space="preserve">+90 542 385 66 20</t>
  </si>
  <si>
    <t xml:space="preserve">Since 2002, small Denizli shop. Simple, reliable client pitch.</t>
  </si>
  <si>
    <t xml:space="preserve">AWT Bilişim (Denizli Web / Ankara Web / İzmir Web)</t>
  </si>
  <si>
    <t xml:space="preserve">Denizli + Ankara + Istanbul + İzmir</t>
  </si>
  <si>
    <t xml:space="preserve">https://denizliweb.com.tr/</t>
  </si>
  <si>
    <t xml:space="preserve">info@denizliweb.com.tr</t>
  </si>
  <si>
    <t xml:space="preserve">+90 532 482 31 20</t>
  </si>
  <si>
    <t xml:space="preserve">Multi-city 'city+web' branding — built for volume. Huge fit for a generator pipeline.</t>
  </si>
  <si>
    <t xml:space="preserve">BenefitAd Reklam Ajansı</t>
  </si>
  <si>
    <t xml:space="preserve">https://benefitads.com/</t>
  </si>
  <si>
    <t xml:space="preserve">benefitreklam@gmail.com</t>
  </si>
  <si>
    <t xml:space="preserve">+90 532 420 21 51</t>
  </si>
  <si>
    <t xml:space="preserve">Small Denizli agency, direct email. Low-friction first outreach.</t>
  </si>
  <si>
    <t xml:space="preserve">Yobisi 360° Reklam</t>
  </si>
  <si>
    <t xml:space="preserve">https://yobisi.com/</t>
  </si>
  <si>
    <t xml:space="preserve">+90 258 244 01 23</t>
  </si>
  <si>
    <t xml:space="preserve">https://www.linkedin.com/company/18034199</t>
  </si>
  <si>
    <t xml:space="preserve">8-year Denizli 360° agency. Reach via LinkedIn DM first, no public email.</t>
  </si>
  <si>
    <t xml:space="preserve">İmgesel Tasarım</t>
  </si>
  <si>
    <t xml:space="preserve">https://www.imgeseltasarim.com/</t>
  </si>
  <si>
    <t xml:space="preserve">satis@imgeseltasarim.com</t>
  </si>
  <si>
    <t xml:space="preserve">+90 537 381 73 57</t>
  </si>
  <si>
    <t xml:space="preserve">https://www.linkedin.com/company/imgesel-tasarim</t>
  </si>
  <si>
    <t xml:space="preserve">Brand + ad agency. satis@ = warm sales inbox.</t>
  </si>
  <si>
    <t xml:space="preserve">Deniz Web Ajans</t>
  </si>
  <si>
    <t xml:space="preserve">İzmir (Çiğli)</t>
  </si>
  <si>
    <t xml:space="preserve">https://deniz-web.com/</t>
  </si>
  <si>
    <t xml:space="preserve">info@denizweb.com.tr</t>
  </si>
  <si>
    <t xml:space="preserve">+90 507 868 27 75</t>
  </si>
  <si>
    <t xml:space="preserve">360° digital agency since 2018 — young, hungry, willing to try new tools.</t>
  </si>
  <si>
    <t xml:space="preserve">101 Medya Web Stüdyosu</t>
  </si>
  <si>
    <t xml:space="preserve">Polatlı (Ankara)</t>
  </si>
  <si>
    <t xml:space="preserve">https://101medya.com/</t>
  </si>
  <si>
    <t xml:space="preserve">info@101medya.com</t>
  </si>
  <si>
    <t xml:space="preserve">+90 533 1919 0101</t>
  </si>
  <si>
    <t xml:space="preserve">Small web studio serving TR+abroad — right size for Yappaflow to feel immediate.</t>
  </si>
  <si>
    <t xml:space="preserve">Sıradışı Digital</t>
  </si>
  <si>
    <t xml:space="preserve">Ankara + Eskişehir</t>
  </si>
  <si>
    <t xml:space="preserve">https://siradisidigital.com/</t>
  </si>
  <si>
    <t xml:space="preserve">info@siradisidigital.com</t>
  </si>
  <si>
    <t xml:space="preserve">+90 850 304 33 34</t>
  </si>
  <si>
    <t xml:space="preserve">Two-city 360° agency. Enough scale for a partnership conversation on microsite delivery.</t>
  </si>
  <si>
    <t xml:space="preserve">INVIVA Medya</t>
  </si>
  <si>
    <t xml:space="preserve">Konya (HQ) + Istanbul</t>
  </si>
  <si>
    <t xml:space="preserve">https://inviva.com.tr/</t>
  </si>
  <si>
    <t xml:space="preserve">info@inviva.com.tr</t>
  </si>
  <si>
    <t xml:space="preserve">+90 332 321 1125</t>
  </si>
  <si>
    <t xml:space="preserve">Two-office web + software + ad agency. Mid-size; offer free first-5-sites as the hook.</t>
  </si>
  <si>
    <t xml:space="preserve">Post Ajans</t>
  </si>
  <si>
    <t xml:space="preserve">Konya (Meram)</t>
  </si>
  <si>
    <t xml:space="preserve">https://www.postajans.com.tr/</t>
  </si>
  <si>
    <t xml:space="preserve">postajans@postajans.com.tr</t>
  </si>
  <si>
    <t xml:space="preserve">+90 332 238 32 60</t>
  </si>
  <si>
    <t xml:space="preserve">https://www.linkedin.com/company/post-ajans/</t>
  </si>
  <si>
    <t xml:space="preserve">25 years, 4000+ projects, 9 awards. Bigger shop — partnership angle for microsite add-on.</t>
  </si>
  <si>
    <t xml:space="preserve">Konya Web Tasarım (A&amp;G / Ali Gökalp)</t>
  </si>
  <si>
    <t xml:space="preserve">Konya + İzmir</t>
  </si>
  <si>
    <t xml:space="preserve">https://aligokalp.com.tr/</t>
  </si>
  <si>
    <t xml:space="preserve">+90 507 736 26 88</t>
  </si>
  <si>
    <t xml:space="preserve">https://www.linkedin.com/in/ali-g%C3%B6kalp/</t>
  </si>
  <si>
    <t xml:space="preserve">Ali Gökalp</t>
  </si>
  <si>
    <t xml:space="preserve">Solo operator running two-city brand. Exactly the 'deliver like a studio' pitch.</t>
  </si>
  <si>
    <t xml:space="preserve">Pill Digital</t>
  </si>
  <si>
    <t xml:space="preserve">Eskişehir (Odunpazarı)</t>
  </si>
  <si>
    <t xml:space="preserve">https://www.pill.com.tr/</t>
  </si>
  <si>
    <t xml:space="preserve">+90 554 860 97 60</t>
  </si>
  <si>
    <t xml:space="preserve">https://linkedin.com/company/pill-digital</t>
  </si>
  <si>
    <t xml:space="preserve">Web + e-commerce + mobile shop since 2016. No public email — LinkedIn DM first.</t>
  </si>
  <si>
    <t xml:space="preserve">Webmarka</t>
  </si>
  <si>
    <t xml:space="preserve">https://webmarka.com/</t>
  </si>
  <si>
    <t xml:space="preserve">destek@webmarka.com</t>
  </si>
  <si>
    <t xml:space="preserve">+90 552 009 20 29</t>
  </si>
  <si>
    <t xml:space="preserve">Small Eskişehir web+software+ads shop. Cold email should convert.</t>
  </si>
  <si>
    <t xml:space="preserve">Forse Reklam</t>
  </si>
  <si>
    <t xml:space="preserve">https://www.forse.web.tr/</t>
  </si>
  <si>
    <t xml:space="preserve">forse@forse.web.tr</t>
  </si>
  <si>
    <t xml:space="preserve">+90 850 302 55 99</t>
  </si>
  <si>
    <t xml:space="preserve">https://www.linkedin.com/in/forse-reklam-b617b5155/</t>
  </si>
  <si>
    <t xml:space="preserve">Since 1996 — old-guard Eskişehir shop. Pitch modernization via AI-driven generation.</t>
  </si>
  <si>
    <t xml:space="preserve">Saruhan Web Ajans (SW)</t>
  </si>
  <si>
    <t xml:space="preserve">Eskişehir</t>
  </si>
  <si>
    <t xml:space="preserve">https://www.saruhanweb.com/</t>
  </si>
  <si>
    <t xml:space="preserve">bilgi@saruhanweb.com</t>
  </si>
  <si>
    <t xml:space="preserve">+90 222 220 03 77</t>
  </si>
  <si>
    <t xml:space="preserve">https://tr.linkedin.com/company/saruhanwebajans</t>
  </si>
  <si>
    <t xml:space="preserve">Already positions itself as 'AI-powered design' — perfect warm audience.</t>
  </si>
  <si>
    <t xml:space="preserve">Trigon Software</t>
  </si>
  <si>
    <t xml:space="preserve">Sakarya (Adapazarı)</t>
  </si>
  <si>
    <t xml:space="preserve">https://trigonsoftware.com/</t>
  </si>
  <si>
    <t xml:space="preserve">+90 540 272 80 80</t>
  </si>
  <si>
    <t xml:space="preserve">https://www.linkedin.com/company/trigonsoftware</t>
  </si>
  <si>
    <t xml:space="preserve">Sakarya software shop. LinkedIn DM first; no public email.</t>
  </si>
  <si>
    <t xml:space="preserve">İbrahim Etem Kanbur (Özgür Tasarımcı)</t>
  </si>
  <si>
    <t xml:space="preserve">https://ozgurtasarimci.com/</t>
  </si>
  <si>
    <t xml:space="preserve">+90 536 322 73 82</t>
  </si>
  <si>
    <t xml:space="preserve">https://www.linkedin.com/in/ozgurtasarimci/</t>
  </si>
  <si>
    <t xml:space="preserve">İbrahim Etem Kanbur</t>
  </si>
  <si>
    <t xml:space="preserve">8 yrs, freelance graphic + web + brand. Reach via LinkedIn DM.</t>
  </si>
  <si>
    <t xml:space="preserve">Çağatay Demir</t>
  </si>
  <si>
    <t xml:space="preserve">Turkey (works globally)</t>
  </si>
  <si>
    <t xml:space="preserve">https://cagataydemir.com.tr/</t>
  </si>
  <si>
    <t xml:space="preserve">merhaba@cagataydemir.com.tr</t>
  </si>
  <si>
    <t xml:space="preserve">+90 530 393 01 71</t>
  </si>
  <si>
    <t xml:space="preserve">https://www.linkedin.com/in/cagatay-demir/</t>
  </si>
  <si>
    <t xml:space="preserve">Multi-country WordPress + SEO freelancer. Will appreciate white-label ZIP export.</t>
  </si>
  <si>
    <t xml:space="preserve">Dream Office Team</t>
  </si>
  <si>
    <t xml:space="preserve">https://dreamoffice.com.tr/</t>
  </si>
  <si>
    <t xml:space="preserve">bilgi@dreamoffice.com.tr</t>
  </si>
  <si>
    <t xml:space="preserve">+90 544 543 13 33</t>
  </si>
  <si>
    <t xml:space="preserve">Solo/small team, custom web + SEO — the 'save the boring parts' pitch lands.</t>
  </si>
  <si>
    <t xml:space="preserve">Eskişehir Web Ajans</t>
  </si>
  <si>
    <t xml:space="preserve">https://eskisehirwebajans.com/</t>
  </si>
  <si>
    <t xml:space="preserve">iletisim@eskisehirwebajans.com</t>
  </si>
  <si>
    <t xml:space="preserve">+90 505 387 05 80</t>
  </si>
  <si>
    <t xml:space="preserve">250 projects, 80 clients, 20 yrs. Steady regional shop — standard client pitch.</t>
  </si>
  <si>
    <t xml:space="preserve">Vizyoner Ajans Danışmanlık</t>
  </si>
  <si>
    <t xml:space="preserve">Konya (Selçuklu)</t>
  </si>
  <si>
    <t xml:space="preserve">https://www.vizyoner.com.tr/</t>
  </si>
  <si>
    <t xml:space="preserve">info@vizyoner.com.tr</t>
  </si>
  <si>
    <t xml:space="preserve">+90 541 924 24 22</t>
  </si>
  <si>
    <t xml:space="preserve">https://www.linkedin.com/company/vizyoner-danışmanlık-&amp;-ajans/</t>
  </si>
  <si>
    <t xml:space="preserve">Since 2005. Consulting + agency — partnership-angle friendly.</t>
  </si>
  <si>
    <t xml:space="preserve">Webacil</t>
  </si>
  <si>
    <t xml:space="preserve">https://webacil.com/</t>
  </si>
  <si>
    <t xml:space="preserve">+90 216 330 10 50</t>
  </si>
  <si>
    <t xml:space="preserve">Freelance-style 'fast web' brand. No public email — call or contact form.</t>
  </si>
  <si>
    <t xml:space="preserve">WebAcil freelance pool</t>
  </si>
  <si>
    <t xml:space="preserve">https://webacil.com/freelance-web-tasarimci/</t>
  </si>
  <si>
    <t xml:space="preserve">Curated freelance web pool. Partnership pitch — Yappaflow as their delivery layer.</t>
  </si>
  <si>
    <t xml:space="preserve">Kolektif House Maslak community</t>
  </si>
  <si>
    <t xml:space="preserve">https://kolektifhouse.co/</t>
  </si>
  <si>
    <t xml:space="preserve">Shared office popular with small agencies + freelancers. Organic: pitch a free lunch-&amp;-learn.</t>
  </si>
  <si>
    <t xml:space="preserve">Kodluyoruz Discord / community</t>
  </si>
  <si>
    <t xml:space="preserve">https://kodluyoruz.org/</t>
  </si>
  <si>
    <t xml:space="preserve">https://www.linkedin.com/company/kodluyoruzorg/</t>
  </si>
  <si>
    <t xml:space="preserve">Turkey's biggest free-coding community — bootcamp grads regularly go freelance. Post a Yappaflow build-along.</t>
  </si>
  <si>
    <t xml:space="preserve">Türkiye Dijital Ajanslar (LinkedIn group)</t>
  </si>
  <si>
    <t xml:space="preserve">https://www.linkedin.com/groups/3903174/</t>
  </si>
  <si>
    <t xml:space="preserve">LinkedIn group for Turkish digital agencies — post a short Yappaflow demo there as a 'tool I built' note.</t>
  </si>
  <si>
    <t xml:space="preserve">Indie Hackers Turkey (community)</t>
  </si>
  <si>
    <t xml:space="preserve">https://indiehackers.com.tr/</t>
  </si>
  <si>
    <t xml:space="preserve">Turkish indie founders + freelancers. Write a build-in-public thread about Yappaflow; drives warm inbound.</t>
  </si>
  <si>
    <t xml:space="preserve">WebTrabzon</t>
  </si>
  <si>
    <t xml:space="preserve">Trabzon (Ortahisar)</t>
  </si>
  <si>
    <t xml:space="preserve">https://www.webtrabzon.com/</t>
  </si>
  <si>
    <t xml:space="preserve">bilgi@webtrabzon.com</t>
  </si>
  <si>
    <t xml:space="preserve">+90 554 496 00 61</t>
  </si>
  <si>
    <t xml:space="preserve">https://www.linkedin.com/company/webtrabzon/</t>
  </si>
  <si>
    <t xml:space="preserve">Small Trabzon web shop — direct email, solid cold-outreach target.</t>
  </si>
  <si>
    <t xml:space="preserve">61Medya</t>
  </si>
  <si>
    <t xml:space="preserve">https://www.61medya.com.tr/</t>
  </si>
  <si>
    <t xml:space="preserve">+90 553 416 52 70</t>
  </si>
  <si>
    <t xml:space="preserve">Trabzon web + matbaa + reklam ajansı. Try WhatsApp first; no public email.</t>
  </si>
  <si>
    <t xml:space="preserve">Emre Domaç</t>
  </si>
  <si>
    <t xml:space="preserve">Giresun (Tirebolu)</t>
  </si>
  <si>
    <t xml:space="preserve">https://www.emrewebtasarim.com/</t>
  </si>
  <si>
    <t xml:space="preserve">bilgi@emrewebtasarim.com</t>
  </si>
  <si>
    <t xml:space="preserve">+90 552 239 82 85</t>
  </si>
  <si>
    <t xml:space="preserve">https://www.linkedin.com/in/emre-domac/</t>
  </si>
  <si>
    <t xml:space="preserve">16 yrs + 400 sites. Solo veteran — white-label ZIP is an easy sell.</t>
  </si>
  <si>
    <t xml:space="preserve">Dijitasyon</t>
  </si>
  <si>
    <t xml:space="preserve">Samsun</t>
  </si>
  <si>
    <t xml:space="preserve">https://dijitasyon.com.tr/</t>
  </si>
  <si>
    <t xml:space="preserve">web@dijitasyon.com.tr</t>
  </si>
  <si>
    <t xml:space="preserve">+90 530 642 69 55</t>
  </si>
  <si>
    <t xml:space="preserve">Muratcan &amp; Hazel Karataş (Founders)</t>
  </si>
  <si>
    <t xml:space="preserve">Husband-and-wife founder team. Write to Hazel on LinkedIn first.</t>
  </si>
  <si>
    <t xml:space="preserve">Redia Ajans (medya.red)</t>
  </si>
  <si>
    <t xml:space="preserve">https://www.medya.red/</t>
  </si>
  <si>
    <t xml:space="preserve">bilgi@medya.red</t>
  </si>
  <si>
    <t xml:space="preserve">+90 555 888 55 24</t>
  </si>
  <si>
    <t xml:space="preserve">https://linkedin.com/company/redia-ajans/</t>
  </si>
  <si>
    <t xml:space="preserve">Since 2006, 200+ client sites. Stable regional shop.</t>
  </si>
  <si>
    <t xml:space="preserve">SIP Yazılım (Samsun Web Tasarım)</t>
  </si>
  <si>
    <t xml:space="preserve">Samsun (Teknopark)</t>
  </si>
  <si>
    <t xml:space="preserve">https://www.samsunwebtasarimi.com/</t>
  </si>
  <si>
    <t xml:space="preserve">+90 850 302 43 55</t>
  </si>
  <si>
    <t xml:space="preserve">OMÜ Teknopark tenant. Call to reach; no public email.</t>
  </si>
  <si>
    <t xml:space="preserve">bw/a (better with agency)</t>
  </si>
  <si>
    <t xml:space="preserve">https://bw.agency/</t>
  </si>
  <si>
    <t xml:space="preserve">Boutique 'local-entrepreneur-only' agency. Warm fit for pitching Yappaflow via demo, no email — use contact form.</t>
  </si>
  <si>
    <t xml:space="preserve">Adana Tasarım</t>
  </si>
  <si>
    <t xml:space="preserve">Adana (Seyhan)</t>
  </si>
  <si>
    <t xml:space="preserve">https://www.adanatasarim.com/</t>
  </si>
  <si>
    <t xml:space="preserve">info@adanatasarim.com</t>
  </si>
  <si>
    <t xml:space="preserve">+90 546 787 49 32</t>
  </si>
  <si>
    <t xml:space="preserve">Full-stack Adana web+branding shop. Direct email inbox is warm.</t>
  </si>
  <si>
    <t xml:space="preserve">Gerçek Ajans (Gerçek Bilişim)</t>
  </si>
  <si>
    <t xml:space="preserve">Adana (Çukurova)</t>
  </si>
  <si>
    <t xml:space="preserve">https://www.gercekbilisim.com/</t>
  </si>
  <si>
    <t xml:space="preserve">info@gercekbilisim.com</t>
  </si>
  <si>
    <t xml:space="preserve">+90 505 020 10 10</t>
  </si>
  <si>
    <t xml:space="preserve">https://tr.linkedin.com/company/adana-web-tasarim</t>
  </si>
  <si>
    <t xml:space="preserve">Operates from Go Ofis coworking — early-adopter friendly.</t>
  </si>
  <si>
    <t xml:space="preserve">Mag-Net Web</t>
  </si>
  <si>
    <t xml:space="preserve">https://www.magnetweb.com.tr/</t>
  </si>
  <si>
    <t xml:space="preserve">posta@mag-net.com.tr</t>
  </si>
  <si>
    <t xml:space="preserve">+90 322 235 57 53</t>
  </si>
  <si>
    <t xml:space="preserve">24 yrs, 5000+ clients. Mid-size shop — partnership angle viable.</t>
  </si>
  <si>
    <t xml:space="preserve">SerNis Dijital Ajans</t>
  </si>
  <si>
    <t xml:space="preserve">https://www.sernisdijitalajans.com/</t>
  </si>
  <si>
    <t xml:space="preserve">sernisdijitalajans@gmail.com</t>
  </si>
  <si>
    <t xml:space="preserve">+90 551 036 60 63</t>
  </si>
  <si>
    <t xml:space="preserve">https://www.linkedin.com/in/sernis-dijital-ajans-undefined-694912317/</t>
  </si>
  <si>
    <t xml:space="preserve">Boutique Adana agency on gmail — almost certainly solo/duo, fast decision path.</t>
  </si>
  <si>
    <t xml:space="preserve">EfeDizayn</t>
  </si>
  <si>
    <t xml:space="preserve">Mersin (Akdeniz)</t>
  </si>
  <si>
    <t xml:space="preserve">https://www.efedizayn.com/</t>
  </si>
  <si>
    <t xml:space="preserve">destek@efedizayn.com</t>
  </si>
  <si>
    <t xml:space="preserve">+90 551 816 88 88</t>
  </si>
  <si>
    <t xml:space="preserve">https://linkedin.com/in/efedizayn-webtasarim/</t>
  </si>
  <si>
    <t xml:space="preserve">Small Mersin web+branding shop. Direct outreach works.</t>
  </si>
  <si>
    <t xml:space="preserve">Ajans Bukalemun</t>
  </si>
  <si>
    <t xml:space="preserve">Muğla (Milas)</t>
  </si>
  <si>
    <t xml:space="preserve">https://ajansbukalemun.com/</t>
  </si>
  <si>
    <t xml:space="preserve">info@ajansbukalemun.com</t>
  </si>
  <si>
    <t xml:space="preserve">+90 252 512 39 39</t>
  </si>
  <si>
    <t xml:space="preserve">Milas + Bodrum — hospitality/tourism client base. Pitch seasonal-site speed.</t>
  </si>
  <si>
    <t xml:space="preserve">UçarSoft</t>
  </si>
  <si>
    <t xml:space="preserve">Bodrum (HQ) + Istanbul</t>
  </si>
  <si>
    <t xml:space="preserve">https://www.ucarsoft.com/</t>
  </si>
  <si>
    <t xml:space="preserve">info@ucarsoft.com</t>
  </si>
  <si>
    <t xml:space="preserve">+90 252 313 27 25</t>
  </si>
  <si>
    <t xml:space="preserve">14 yrs, two-office shop. Multi-city clients — ZIP deploy is ideal.</t>
  </si>
  <si>
    <t xml:space="preserve">Toprak Ajans</t>
  </si>
  <si>
    <t xml:space="preserve">Muğla (Bodrum)</t>
  </si>
  <si>
    <t xml:space="preserve">https://www.toprakajans.com/</t>
  </si>
  <si>
    <t xml:space="preserve">info@toprakajans.com</t>
  </si>
  <si>
    <t xml:space="preserve">+90 252 316 24 94</t>
  </si>
  <si>
    <t xml:space="preserve">Bodrum-area boutique. Hotel/restaurant clients — fast seasonal turnarounds.</t>
  </si>
  <si>
    <t xml:space="preserve">BuDRoM Ajans</t>
  </si>
  <si>
    <t xml:space="preserve">https://budrom.com.tr/</t>
  </si>
  <si>
    <t xml:space="preserve">info@budrom.com.tr</t>
  </si>
  <si>
    <t xml:space="preserve">+90 505 335 55 75</t>
  </si>
  <si>
    <t xml:space="preserve">Bodrum 360° ad agency. Social-video lead + web design.</t>
  </si>
  <si>
    <t xml:space="preserve">Bursa Dijital Ajans</t>
  </si>
  <si>
    <t xml:space="preserve">Bursa (Nilüfer)</t>
  </si>
  <si>
    <t xml:space="preserve">https://www.bursadijitalajans.com/</t>
  </si>
  <si>
    <t xml:space="preserve">+90 532 730 66 86</t>
  </si>
  <si>
    <t xml:space="preserve">13 yrs. WhatsApp-first shop. No public email — reach via phone/LinkedIn.</t>
  </si>
  <si>
    <t xml:space="preserve">Ajans Ay</t>
  </si>
  <si>
    <t xml:space="preserve">https://ajansay.com/</t>
  </si>
  <si>
    <t xml:space="preserve">info@ajansay.com</t>
  </si>
  <si>
    <t xml:space="preserve">+90 540 007 77 16</t>
  </si>
  <si>
    <t xml:space="preserve">Bedrettin Ayvaz</t>
  </si>
  <si>
    <t xml:space="preserve">700+ clients, 16 yrs. Mid-size Bursa shop. Partnership angle fits.</t>
  </si>
  <si>
    <t xml:space="preserve">Webkod</t>
  </si>
  <si>
    <t xml:space="preserve">https://www.webkod.com.tr/</t>
  </si>
  <si>
    <t xml:space="preserve">hello@webkod.com.tr</t>
  </si>
  <si>
    <t xml:space="preserve">+90 224 532 12 53</t>
  </si>
  <si>
    <t xml:space="preserve">Bursa web+SEO+domain shop. hello@ inbox = warm target.</t>
  </si>
  <si>
    <t xml:space="preserve">Aven Dijital</t>
  </si>
  <si>
    <t xml:space="preserve">Bursa (İnegöl) + London</t>
  </si>
  <si>
    <t xml:space="preserve">https://www.avendijital.com/</t>
  </si>
  <si>
    <t xml:space="preserve">hello@avendijital.com</t>
  </si>
  <si>
    <t xml:space="preserve">+90 506 116 14 53</t>
  </si>
  <si>
    <t xml:space="preserve">İnegöl + UK office, many direct numbers. Small-team structure, likely open to new tooling.</t>
  </si>
  <si>
    <t xml:space="preserve">Derin Ajans</t>
  </si>
  <si>
    <t xml:space="preserve">Balıkesir (Altıeylül)</t>
  </si>
  <si>
    <t xml:space="preserve">https://derinajans.com.tr/</t>
  </si>
  <si>
    <t xml:space="preserve">bilgi@derinajans.com</t>
  </si>
  <si>
    <t xml:space="preserve">+90 266 241 44 11</t>
  </si>
  <si>
    <t xml:space="preserve">https://tr.linkedin.com/in/derin-ajans-80b2b2205</t>
  </si>
  <si>
    <t xml:space="preserve">Small Balıkesir agency — local SMB focus. Easy cold email.</t>
  </si>
  <si>
    <t xml:space="preserve">Creamive</t>
  </si>
  <si>
    <t xml:space="preserve">Balıkesir + Istanbul</t>
  </si>
  <si>
    <t xml:space="preserve">https://www.creamive.com/</t>
  </si>
  <si>
    <t xml:space="preserve">hello@creamive.com</t>
  </si>
  <si>
    <t xml:space="preserve">Two-city creative shop. hello@ inbox = warm.</t>
  </si>
  <si>
    <t xml:space="preserve">Yonkasoft</t>
  </si>
  <si>
    <t xml:space="preserve">https://yonkasoft.com/</t>
  </si>
  <si>
    <t xml:space="preserve">+90 537 311 98 17</t>
  </si>
  <si>
    <t xml:space="preserve">https://linkedin.com/company/yonkasoft</t>
  </si>
  <si>
    <t xml:space="preserve">Gaziantep software+web shop. LinkedIn DM or phone first.</t>
  </si>
  <si>
    <t xml:space="preserve">İnotek Ajans</t>
  </si>
  <si>
    <t xml:space="preserve">Diyarbakır + Istanbul + İzmir</t>
  </si>
  <si>
    <t xml:space="preserve">https://inotekajans.com/</t>
  </si>
  <si>
    <t xml:space="preserve">info@inotek.com.tr</t>
  </si>
  <si>
    <t xml:space="preserve">+90 850 840 54 12</t>
  </si>
  <si>
    <t xml:space="preserve">Three-city creative+software shop. Multi-site volume is classic Yappaflow fit.</t>
  </si>
  <si>
    <t xml:space="preserve">Ata Bilişim</t>
  </si>
  <si>
    <t xml:space="preserve">Lefkoşa (KKTC)</t>
  </si>
  <si>
    <t xml:space="preserve">https://www.atabilisim.pro/</t>
  </si>
  <si>
    <t xml:space="preserve">info@atabilisim.pro</t>
  </si>
  <si>
    <t xml:space="preserve">+90 533 882 30 30</t>
  </si>
  <si>
    <t xml:space="preserve">https://cy.linkedin.com/in/atabilisim</t>
  </si>
  <si>
    <t xml:space="preserve">650+ clients across TR/CY/Japan/UK/DE. Cross-border delivery = ZIP hand-off wins.</t>
  </si>
  <si>
    <t xml:space="preserve">MarkaWorks</t>
  </si>
  <si>
    <t xml:space="preserve">Istanbul + London + Dubai + Antalya</t>
  </si>
  <si>
    <t xml:space="preserve">https://markaworks.com/</t>
  </si>
  <si>
    <t xml:space="preserve">contact@markaworks.com</t>
  </si>
  <si>
    <t xml:space="preserve">+44 20 3885 80 18</t>
  </si>
  <si>
    <t xml:space="preserve">https://linkedin.com/company/markaworks/</t>
  </si>
  <si>
    <t xml:space="preserve">Global branding agency. Partnership angle for microsite delivery layer.</t>
  </si>
  <si>
    <t xml:space="preserve">UBF (Unique Brand Factory)</t>
  </si>
  <si>
    <t xml:space="preserve">Istanbul (Beyoğlu/Şişhane)</t>
  </si>
  <si>
    <t xml:space="preserve">https://www.ubf.com.tr/</t>
  </si>
  <si>
    <t xml:space="preserve">https://linkedin.com/company/ubf---unique-brand-factory</t>
  </si>
  <si>
    <t xml:space="preserve">Boutique strategy+comms+design. Use LinkedIn DM; no public email.</t>
  </si>
  <si>
    <t xml:space="preserve">Starter</t>
  </si>
  <si>
    <t xml:space="preserve">https://starterdesign.co/</t>
  </si>
  <si>
    <t xml:space="preserve">info@starterdesign.co</t>
  </si>
  <si>
    <t xml:space="preserve">https://linkedin.com/company/starterdesign-co</t>
  </si>
  <si>
    <t xml:space="preserve">Koray Şahan (Founder)</t>
  </si>
  <si>
    <t xml:space="preserve">Founder-led boutique brand agency. Personal note to Koray on LinkedIn.</t>
  </si>
  <si>
    <t xml:space="preserve">brain.work</t>
  </si>
  <si>
    <t xml:space="preserve">https://brain.work/</t>
  </si>
  <si>
    <t xml:space="preserve">merhaba@brain.work</t>
  </si>
  <si>
    <t xml:space="preserve">+90 532 236 38 80</t>
  </si>
  <si>
    <t xml:space="preserve">https://linkedin.com/company/braindotwork</t>
  </si>
  <si>
    <t xml:space="preserve">UX+web+SEO+brand. merhaba@ inbox is inviting.</t>
  </si>
  <si>
    <t xml:space="preserve">Userspots</t>
  </si>
  <si>
    <t xml:space="preserve">Istanbul (Turkey)</t>
  </si>
  <si>
    <t xml:space="preserve">https://userspots.com/</t>
  </si>
  <si>
    <t xml:space="preserve">https://linkedin.com/company/userspots</t>
  </si>
  <si>
    <t xml:space="preserve">Enterprise UX clients (Arçelik/Boyner/Migros). Partnership-angle only; they build, Yappaflow supplies microsites.</t>
  </si>
  <si>
    <t xml:space="preserve">Prix Studio</t>
  </si>
  <si>
    <t xml:space="preserve">Istanbul (İTÜ Arı 3 Teknokent)</t>
  </si>
  <si>
    <t xml:space="preserve">https://prix-studio.com/</t>
  </si>
  <si>
    <t xml:space="preserve">info@prix-studio.com</t>
  </si>
  <si>
    <t xml:space="preserve">https://linkedin.com/company/prix-studio/</t>
  </si>
  <si>
    <t xml:space="preserve">Webflow + Shopify + ikas — certified on all three. Strongest partnership target.</t>
  </si>
  <si>
    <t xml:space="preserve">Artelio Creative</t>
  </si>
  <si>
    <t xml:space="preserve">https://www.arteliocreative.com/</t>
  </si>
  <si>
    <t xml:space="preserve">+90 216 606 70 18</t>
  </si>
  <si>
    <t xml:space="preserve">https://linkedin.com/company/arteliocreative/</t>
  </si>
  <si>
    <t xml:space="preserve">ikas partner + e-com growth focus. Pitch Yappaflow ikas export.</t>
  </si>
  <si>
    <t xml:space="preserve">YCF Digital</t>
  </si>
  <si>
    <t xml:space="preserve">İzmir (Bornova) + USA</t>
  </si>
  <si>
    <t xml:space="preserve">https://ycfdigital.com/</t>
  </si>
  <si>
    <t xml:space="preserve">sales@ycfdigital.com</t>
  </si>
  <si>
    <t xml:space="preserve">+90 531 400 39 39</t>
  </si>
  <si>
    <t xml:space="preserve">https://linkedin.com/company/ycfdigital</t>
  </si>
  <si>
    <t xml:space="preserve">Mansur Sarı (Founder)</t>
  </si>
  <si>
    <t xml:space="preserve">Official ikas partner + Shopify + Amazon. Two-office, named founder — premium partnership target.</t>
  </si>
  <si>
    <t xml:space="preserve">Alis Dijital</t>
  </si>
  <si>
    <t xml:space="preserve">Kayseri + Istanbul</t>
  </si>
  <si>
    <t xml:space="preserve">https://alisdijital.com/</t>
  </si>
  <si>
    <t xml:space="preserve">ajans@alisdijital.com</t>
  </si>
  <si>
    <t xml:space="preserve">+90 850 308 80 52</t>
  </si>
  <si>
    <t xml:space="preserve">https://linkedin.com/company/alisdijital</t>
  </si>
  <si>
    <t xml:space="preserve">200+ stores, verified on ikas+Shopify+Meta+Google. Big partnership prize.</t>
  </si>
  <si>
    <t xml:space="preserve">DigiFist</t>
  </si>
  <si>
    <t xml:space="preserve">Türkiye + Belgium + UAE</t>
  </si>
  <si>
    <t xml:space="preserve">https://digifist.com/</t>
  </si>
  <si>
    <t xml:space="preserve">https://linkedin.com/company/digifist</t>
  </si>
  <si>
    <t xml:space="preserve">First Shopify Premier Partner in Turkey (granted 2025). High-profile partnership if landed.</t>
  </si>
  <si>
    <t xml:space="preserve">Roicool</t>
  </si>
  <si>
    <t xml:space="preserve">https://roicool.com/</t>
  </si>
  <si>
    <t xml:space="preserve">info@roicool.com</t>
  </si>
  <si>
    <t xml:space="preserve">+90 531 407 28 45</t>
  </si>
  <si>
    <t xml:space="preserve">https://www.linkedin.com/company/roicool/</t>
  </si>
  <si>
    <t xml:space="preserve">Mahmud Filoğlu &amp; Zehra Adaş</t>
  </si>
  <si>
    <t xml:space="preserve">Webflow + performance-marketing shop. Co-founders — good two-person intro.</t>
  </si>
  <si>
    <t xml:space="preserve">Commerwise</t>
  </si>
  <si>
    <t xml:space="preserve">https://commerwise.com/</t>
  </si>
  <si>
    <t xml:space="preserve">info@commerwise.com</t>
  </si>
  <si>
    <t xml:space="preserve">+90 546 814 25 34</t>
  </si>
  <si>
    <t xml:space="preserve">Shopify/WordPress + CRO focus. Boutique partner; pitch Shopify export early.</t>
  </si>
  <si>
    <t xml:space="preserve">Drupart Dijital</t>
  </si>
  <si>
    <t xml:space="preserve">Kocaeli (Gebze) + Frankfurt + Dublin</t>
  </si>
  <si>
    <t xml:space="preserve">https://drupart.com.tr/</t>
  </si>
  <si>
    <t xml:space="preserve">+90 262 678 88 72</t>
  </si>
  <si>
    <t xml:space="preserve">https://linkedin.com/company/drupart</t>
  </si>
  <si>
    <t xml:space="preserve">Drupal agency, teknopark-based. Partnership-angle for non-Drupal client work.</t>
  </si>
  <si>
    <t xml:space="preserve">MyFC Yazılım</t>
  </si>
  <si>
    <t xml:space="preserve">https://www.myfcyazilim.com/</t>
  </si>
  <si>
    <t xml:space="preserve">info@myfcyazilim.com</t>
  </si>
  <si>
    <t xml:space="preserve">+90 531 208 98 01</t>
  </si>
  <si>
    <t xml:space="preserve">https://linkedin.com/company/myfcagency</t>
  </si>
  <si>
    <t xml:space="preserve">15+ yrs, Palladium Tower address. Standard client pitch.</t>
  </si>
  <si>
    <t xml:space="preserve">Magna Dijital</t>
  </si>
  <si>
    <t xml:space="preserve">Istanbul (Beşiktaş) + Atlanta</t>
  </si>
  <si>
    <t xml:space="preserve">https://www.magnadijital.com.tr/</t>
  </si>
  <si>
    <t xml:space="preserve">info@magnadijital.com.tr</t>
  </si>
  <si>
    <t xml:space="preserve">+90 850 333 80 91</t>
  </si>
  <si>
    <t xml:space="preserve">https://tr.linkedin.com/company/magna-dijital-pazarlama-ajans%C4%B1-ve-dan%C4%B1%C5%9Fmanl%C4%B1k-hizmetleri-ltd-%C5%9Fti</t>
  </si>
  <si>
    <t xml:space="preserve">Two-country agency. Cross-border client sites = ZIP export hand-off wins.</t>
  </si>
  <si>
    <t xml:space="preserve">Ali Çınaroğlu</t>
  </si>
  <si>
    <t xml:space="preserve">https://alicinaroglu.com/</t>
  </si>
  <si>
    <t xml:space="preserve">me@alicinaroglu.dev</t>
  </si>
  <si>
    <t xml:space="preserve">19+ yrs senior SaaS/iOS engineer, remote-open. Pitch as white-label build partner.</t>
  </si>
  <si>
    <t xml:space="preserve">PAM Ajans</t>
  </si>
  <si>
    <t xml:space="preserve">Ankara + Dubai</t>
  </si>
  <si>
    <t xml:space="preserve">https://pamajans.com/</t>
  </si>
  <si>
    <t xml:space="preserve">info@pamajans.com</t>
  </si>
  <si>
    <t xml:space="preserve">+90 850 305 77 26</t>
  </si>
  <si>
    <t xml:space="preserve">Full-service digital agency with Dubai office. Export-to-client workflow = good fit.</t>
  </si>
  <si>
    <t xml:space="preserve">Digipeak</t>
  </si>
  <si>
    <t xml:space="preserve">Istanbul + London + Texas</t>
  </si>
  <si>
    <t xml:space="preserve">https://digipeak.org/</t>
  </si>
  <si>
    <t xml:space="preserve">info@digipeak.org</t>
  </si>
  <si>
    <t xml:space="preserve">https://www.linkedin.com/company/digipeakagency/</t>
  </si>
  <si>
    <t xml:space="preserve">Ufuk Yalvaç</t>
  </si>
  <si>
    <t xml:space="preserve">Founder Ufuk Yalvaç is reachable on LinkedIn — multi-country shop, open to tooling.</t>
  </si>
  <si>
    <t xml:space="preserve">Kocaeli Dijital</t>
  </si>
  <si>
    <t xml:space="preserve">Kocaeli (İzmit)</t>
  </si>
  <si>
    <t xml:space="preserve">https://kocaelidijital.com/</t>
  </si>
  <si>
    <t xml:space="preserve">info@kocaelidijital.com</t>
  </si>
  <si>
    <t xml:space="preserve">+90 850 303 02 41</t>
  </si>
  <si>
    <t xml:space="preserve">Regional SMB agency; Yappaflow cuts their delivery timeline dramatically.</t>
  </si>
  <si>
    <t xml:space="preserve">Essente Bilişim</t>
  </si>
  <si>
    <t xml:space="preserve">Kocaeli (İzmit) + Canada</t>
  </si>
  <si>
    <t xml:space="preserve">https://essentebilisim.com/</t>
  </si>
  <si>
    <t xml:space="preserve">info@essentebilisim.com</t>
  </si>
  <si>
    <t xml:space="preserve">+90 262 322 41 12</t>
  </si>
  <si>
    <t xml:space="preserve">Cross-border SMB shop. Export ZIP hand-off = clean deliverable for Canadian SMB clients.</t>
  </si>
  <si>
    <t xml:space="preserve">Piyetra</t>
  </si>
  <si>
    <t xml:space="preserve">Kocaeli</t>
  </si>
  <si>
    <t xml:space="preserve">https://piyetra.com/</t>
  </si>
  <si>
    <t xml:space="preserve">merhaba@piyetra.com</t>
  </si>
  <si>
    <t xml:space="preserve">+90 535 816 5388</t>
  </si>
  <si>
    <t xml:space="preserve">Small Kocaeli boutique. Personal email + founder-led — warm intro works.</t>
  </si>
  <si>
    <t xml:space="preserve">LF Dijital</t>
  </si>
  <si>
    <t xml:space="preserve">https://lf.com.tr/</t>
  </si>
  <si>
    <t xml:space="preserve">info@lf.com.tr</t>
  </si>
  <si>
    <t xml:space="preserve">+90 533 704 74 83</t>
  </si>
  <si>
    <t xml:space="preserve">Regional SMB agency. Pitch as light, rapid build/deploy alternative.</t>
  </si>
  <si>
    <t xml:space="preserve">Swonie Creative</t>
  </si>
  <si>
    <t xml:space="preserve">Izmir</t>
  </si>
  <si>
    <t xml:space="preserve">https://swonie.com/</t>
  </si>
  <si>
    <t xml:space="preserve">hello@swonie.com</t>
  </si>
  <si>
    <t xml:space="preserve">https://www.linkedin.com/company/swonie/</t>
  </si>
  <si>
    <t xml:space="preserve">Shopify + branding boutique in Izmir. Great fit for Shopify-export beta once shipped.</t>
  </si>
  <si>
    <t xml:space="preserve">Nutima</t>
  </si>
  <si>
    <t xml:space="preserve">https://nutima.co/</t>
  </si>
  <si>
    <t xml:space="preserve">info@nutima.co</t>
  </si>
  <si>
    <t xml:space="preserve">https://www.linkedin.com/company/nutima/</t>
  </si>
  <si>
    <t xml:space="preserve">Shopify Plus-minded boutique. Partnership pitch: Yappaflow = fast prototype to Shopify.</t>
  </si>
  <si>
    <t xml:space="preserve">Ufuk Yılmaz (Dribbble)</t>
  </si>
  <si>
    <t xml:space="preserve">https://dribbble.com/ufukyilmaz</t>
  </si>
  <si>
    <t xml:space="preserve">https://www.linkedin.com/in/ufukyilmaz/</t>
  </si>
  <si>
    <t xml:space="preserve">Ufuk Yılmaz</t>
  </si>
  <si>
    <t xml:space="preserve">Dribbble-visible product designer. LinkedIn DM — pitch as design hand-off accelerator.</t>
  </si>
  <si>
    <t xml:space="preserve">Murat Tekmen (Dribbble)</t>
  </si>
  <si>
    <t xml:space="preserve">https://dribbble.com/murattekmen</t>
  </si>
  <si>
    <t xml:space="preserve">Murat Tekmen</t>
  </si>
  <si>
    <t xml:space="preserve">Product/web designer on Dribbble. LinkedIn outreach — Yappaflow turns his designs into sites.</t>
  </si>
  <si>
    <t xml:space="preserve">Tolga Taşçı (Dribbble)</t>
  </si>
  <si>
    <t xml:space="preserve">https://dribbble.com/tolgatasci</t>
  </si>
  <si>
    <t xml:space="preserve">https://www.linkedin.com/in/tolgatasci/</t>
  </si>
  <si>
    <t xml:space="preserve">Tolga Taşçı</t>
  </si>
  <si>
    <t xml:space="preserve">Visual designer on Dribbble. Outreach via LinkedIn for small-business delivery partner.</t>
  </si>
  <si>
    <t xml:space="preserve">Kayseri</t>
  </si>
  <si>
    <t xml:space="preserve">https://www.medyator.net/</t>
  </si>
  <si>
    <t xml:space="preserve">+90 850 888 00 38</t>
  </si>
  <si>
    <t xml:space="preserve">Fatih Bey (manager)</t>
  </si>
  <si>
    <t xml:space="preserve">Erciyes Üniversitesi Teknopark; award-winning regional shop. Perfect client fit for SMB sites.</t>
  </si>
  <si>
    <t xml:space="preserve">Seven Ajans</t>
  </si>
  <si>
    <t xml:space="preserve">Corporate + e-commerce expert; 1-year support guarantee. Client pitch.</t>
  </si>
  <si>
    <t xml:space="preserve">A2A Dijital</t>
  </si>
  <si>
    <t xml:space="preserve">https://a2adijital.com/</t>
  </si>
  <si>
    <t xml:space="preserve">+90 352 320 70 78</t>
  </si>
  <si>
    <t xml:space="preserve">13 yrs, 237+ clients. No public email — use phone or contact form.</t>
  </si>
  <si>
    <t xml:space="preserve">Themedya</t>
  </si>
  <si>
    <t xml:space="preserve">https://themedya.com/</t>
  </si>
  <si>
    <t xml:space="preserve">info@themedya.com</t>
  </si>
  <si>
    <t xml:space="preserve">+90 539 724 72 89</t>
  </si>
  <si>
    <t xml:space="preserve">Erciyes Teknopark kuluçka-based web/SEO shop. Regional SMB target.</t>
  </si>
  <si>
    <t xml:space="preserve">https://www.eskisehirwebajans.com/</t>
  </si>
  <si>
    <t xml:space="preserve">Eskişehir leader per own claim, 250 projects. Good regional SMB pitch.</t>
  </si>
  <si>
    <t xml:space="preserve">Master Web Tasarım</t>
  </si>
  <si>
    <t xml:space="preserve">Istanbul (Kağıthane) + Amsterdam</t>
  </si>
  <si>
    <t xml:space="preserve">+90 850 242 43 93</t>
  </si>
  <si>
    <t xml:space="preserve">Google Partner; 750+ refs; NL office. Cross-border client ZIP hand-off fit.</t>
  </si>
  <si>
    <t xml:space="preserve">Enteresan Çizgi</t>
  </si>
  <si>
    <t xml:space="preserve">https://www.enteresancizgi.com/</t>
  </si>
  <si>
    <t xml:space="preserve">Automotive-heavy portfolio (Hyundai/Nissan/Renault). Outreach via website contact form.</t>
  </si>
  <si>
    <t xml:space="preserve">+90 850 888 28 15</t>
  </si>
  <si>
    <t xml:space="preserve">https://www.linkedin.com/company/nodusworks/</t>
  </si>
  <si>
    <t xml:space="preserve">Eren &amp; Efe</t>
  </si>
  <si>
    <t xml:space="preserve">Shopify Partner since 2020, 250+ Shopify/Plus projects, multi-country coverage.</t>
  </si>
  <si>
    <t xml:space="preserve">Digital Pals</t>
  </si>
  <si>
    <t xml:space="preserve">partners@digitalpals.com</t>
  </si>
  <si>
    <t xml:space="preserve">https://www.linkedin.com/company/digital-pals/</t>
  </si>
  <si>
    <t xml:space="preserve">Kaan</t>
  </si>
  <si>
    <t xml:space="preserve">Plus-tier Shopify Partner (since 2019), 150+ brands. partners@ email = warm partnership intro.</t>
  </si>
  <si>
    <t xml:space="preserve">https://www.linkedin.com/company/shopiuzman/</t>
  </si>
  <si>
    <t xml:space="preserve">Uğur</t>
  </si>
  <si>
    <t xml:space="preserve">Officially certified Shopify-only agency. Small team, good partnership fit.</t>
  </si>
  <si>
    <t xml:space="preserve">Marinos Ajans</t>
  </si>
  <si>
    <t xml:space="preserve">https://www.marinosajans.com.tr/</t>
  </si>
  <si>
    <t xml:space="preserve">+90 540 571 07 07</t>
  </si>
  <si>
    <t xml:space="preserve">Antalya web + Google Ads shop. Phone-first outreach — SMB target.</t>
  </si>
  <si>
    <t xml:space="preserve">https://www.cevizbilisim.com.tr/</t>
  </si>
  <si>
    <t xml:space="preserve">22 years in market (since 2003). Full-service — standard SMB delivery fit.</t>
  </si>
  <si>
    <t xml:space="preserve">Izmir (Bayraklı) + Manisa</t>
  </si>
  <si>
    <t xml:space="preserve">Since 2010, serves 30+ countries. Folkart Towers office. Cross-border client fit.</t>
  </si>
  <si>
    <t xml:space="preserve">Goiz Dijital</t>
  </si>
  <si>
    <t xml:space="preserve">Izmir (Bornova)</t>
  </si>
  <si>
    <t xml:space="preserve">https://www.goizdijital.com/</t>
  </si>
  <si>
    <t xml:space="preserve">info@goizdijital.com</t>
  </si>
  <si>
    <t xml:space="preserve">+90 535 363 35 00</t>
  </si>
  <si>
    <t xml:space="preserve">Since 2004 — corporate web + Google Ads. Regional SMB client target.</t>
  </si>
  <si>
    <t xml:space="preserve">Localveri Yazılım</t>
  </si>
  <si>
    <t xml:space="preserve">Izmir (Alsancak) + Istanbul</t>
  </si>
  <si>
    <t xml:space="preserve">https://www.localveri.com.tr/</t>
  </si>
  <si>
    <t xml:space="preserve">+90 232 265 18 18</t>
  </si>
  <si>
    <t xml:space="preserve">22 yrs, 850+ clients, 4000+ projects. Volume shop — client angle, Yappaflow speeds delivery.</t>
  </si>
  <si>
    <t xml:space="preserve">Izmir (Karşıyaka)</t>
  </si>
  <si>
    <t xml:space="preserve">Boutique Karşıyaka shop. Good SMB client fit.</t>
  </si>
  <si>
    <t xml:space="preserve">Istanbul (Sarıyer, İTÜ Arı 3)</t>
  </si>
  <si>
    <t xml:space="preserve">https://www.linkedin.com/company/prixstudio/</t>
  </si>
  <si>
    <t xml:space="preserve">ikas + Shopify + Webflow partner, 12 yrs. Teknopark address. Use website Teklif Al form.</t>
  </si>
  <si>
    <t xml:space="preserve">StreetArt Digital</t>
  </si>
  <si>
    <t xml:space="preserve">https://www.streetartdigital.com/</t>
  </si>
  <si>
    <t xml:space="preserve">bilgi@streetartdigital.com</t>
  </si>
  <si>
    <t xml:space="preserve">+90 533 411 59 54</t>
  </si>
  <si>
    <t xml:space="preserve">400+ projects, 25+ sectors. Ankara client target.</t>
  </si>
  <si>
    <t xml:space="preserve">+90 312 684 80 00</t>
  </si>
  <si>
    <t xml:space="preserve">Ankara dijital reklam ajansı. Web + brand identity. SMB client target.</t>
  </si>
  <si>
    <t xml:space="preserve">SupDijital</t>
  </si>
  <si>
    <t xml:space="preserve">Ankara (Çankaya, YDA Center)</t>
  </si>
  <si>
    <t xml:space="preserve">https://supdijital.com/</t>
  </si>
  <si>
    <t xml:space="preserve">info@supdijital.com</t>
  </si>
  <si>
    <t xml:space="preserve">+90 544 247 16 07</t>
  </si>
  <si>
    <t xml:space="preserve">70+ brands. Video + web. Çankaya premium location.</t>
  </si>
  <si>
    <t xml:space="preserve">https://tr.linkedin.com/company/creamake</t>
  </si>
  <si>
    <t xml:space="preserve">Özgür Yaşacan (Founder)</t>
  </si>
  <si>
    <t xml:space="preserve">ikas partner + e-commerce shop. Founder + GM both named — good warm intro.</t>
  </si>
  <si>
    <t xml:space="preserve">+90 850 308 60 02</t>
  </si>
  <si>
    <t xml:space="preserve">https://www.linkedin.com/company/qreate-dijital</t>
  </si>
  <si>
    <t xml:space="preserve">ikas partner, 360 e-commerce shop. Multi-office. Good partnership angle.</t>
  </si>
  <si>
    <t xml:space="preserve">Ankara (Yenimahalle, İvedik)</t>
  </si>
  <si>
    <t xml:space="preserve">Ankara industrial-zone SMB agency. Phone-first outreach.</t>
  </si>
  <si>
    <t xml:space="preserve">WMS 360 Digital</t>
  </si>
  <si>
    <t xml:space="preserve">https://www.wms360.com.tr/</t>
  </si>
  <si>
    <t xml:space="preserve">iletisim@wms360.com.tr</t>
  </si>
  <si>
    <t xml:space="preserve">+90 312 911 30 63</t>
  </si>
  <si>
    <t xml:space="preserve">Gökhan Bey (lead contact)</t>
  </si>
  <si>
    <t xml:space="preserve">10 yrs, Arıkanlar Plaza. Target regional SMB client work.</t>
  </si>
  <si>
    <t xml:space="preserve">FUHA Design Studio</t>
  </si>
  <si>
    <t xml:space="preserve">https://fuha.co/</t>
  </si>
  <si>
    <t xml:space="preserve">https://www.linkedin.com/company/fuha-design-studio/</t>
  </si>
  <si>
    <t xml:space="preserve">Strategic design studio since 2018, no-code focus. Use LinkedIn or site contact form.</t>
  </si>
  <si>
    <t xml:space="preserve">Istanbul (Bebek)</t>
  </si>
  <si>
    <t xml:space="preserve">https://www.432designstudio.com/</t>
  </si>
  <si>
    <t xml:space="preserve">+90 530 063 22 83</t>
  </si>
  <si>
    <t xml:space="preserve">Premium Bebek studio; Coca-Cola/Lenovo/Aygaz portfolio. Pitch Yappaflow as delivery-speed tool.</t>
  </si>
  <si>
    <t xml:space="preserve">Hop Design Studio</t>
  </si>
  <si>
    <t xml:space="preserve">https://www.hopistanbul.com/</t>
  </si>
  <si>
    <t xml:space="preserve">https://www.linkedin.com/company/hopistanbul/</t>
  </si>
  <si>
    <t xml:space="preserve">Interdisciplinary design studio since 2014. Use LinkedIn or site form.</t>
  </si>
  <si>
    <t xml:space="preserve">Wedevo</t>
  </si>
  <si>
    <t xml:space="preserve">https://wedevo.net/</t>
  </si>
  <si>
    <t xml:space="preserve">hello@wedevo.net</t>
  </si>
  <si>
    <t xml:space="preserve">https://www.linkedin.com/company/79526388/</t>
  </si>
  <si>
    <t xml:space="preserve">Premium web design/dev boutique. hello@ email + LinkedIn.</t>
  </si>
  <si>
    <t xml:space="preserve">Lime or Lemon Digital Studios</t>
  </si>
  <si>
    <t xml:space="preserve">https://limeorlemon.com/</t>
  </si>
  <si>
    <t xml:space="preserve">https://www.linkedin.com/company/lime-or-lemon</t>
  </si>
  <si>
    <t xml:space="preserve">Founded 2014, 11-50 ppl, Muhurdar Cad Kadıköy. Award-winning. LinkedIn-first.</t>
  </si>
  <si>
    <t xml:space="preserve">EKAS TASARIM</t>
  </si>
  <si>
    <t xml:space="preserve">Istanbul (Maltepe) + Orlando</t>
  </si>
  <si>
    <t xml:space="preserve">https://www.ekastasarim.com/</t>
  </si>
  <si>
    <t xml:space="preserve">info@ekastasarim.com</t>
  </si>
  <si>
    <t xml:space="preserve">https://www.linkedin.com/company/ekas-tasarim/</t>
  </si>
  <si>
    <t xml:space="preserve">100+ projects; cross-border (US office). Client pitch.</t>
  </si>
  <si>
    <t xml:space="preserve">Epigra</t>
  </si>
  <si>
    <t xml:space="preserve">Istanbul (Şişli) + London</t>
  </si>
  <si>
    <t xml:space="preserve">https://epigra.com/</t>
  </si>
  <si>
    <t xml:space="preserve">https://www.linkedin.com/company/epigra</t>
  </si>
  <si>
    <t xml:space="preserve">Global design+software agency since 2009. Use LinkedIn DM.</t>
  </si>
  <si>
    <t xml:space="preserve">Babel</t>
  </si>
  <si>
    <t xml:space="preserve">Bursa (Osmangazi)</t>
  </si>
  <si>
    <t xml:space="preserve">https://babel.com.tr/</t>
  </si>
  <si>
    <t xml:space="preserve">+90 224 235 37 37</t>
  </si>
  <si>
    <t xml:space="preserve">https://www.linkedin.com/company/babeltr/</t>
  </si>
  <si>
    <t xml:space="preserve">17+ yrs, 250+ clients, 360 agency. Regional heavy-hitter.</t>
  </si>
  <si>
    <t xml:space="preserve">Office701</t>
  </si>
  <si>
    <t xml:space="preserve">Izmir (Konak)</t>
  </si>
  <si>
    <t xml:space="preserve">https://office701.com/</t>
  </si>
  <si>
    <t xml:space="preserve">destek@office701.com</t>
  </si>
  <si>
    <t xml:space="preserve">+90 850 441 47 01</t>
  </si>
  <si>
    <t xml:space="preserve">https://www.linkedin.com/company/office701</t>
  </si>
  <si>
    <t xml:space="preserve">İzmir-based, 10+ yrs, 587 projects. Solid regional SMB target.</t>
  </si>
  <si>
    <t xml:space="preserve">Clockwork Agency</t>
  </si>
  <si>
    <t xml:space="preserve">Istanbul (Sarıyer Maslak)</t>
  </si>
  <si>
    <t xml:space="preserve">https://clockwork.com.tr/</t>
  </si>
  <si>
    <t xml:space="preserve">clock@clockwork.com.tr</t>
  </si>
  <si>
    <t xml:space="preserve">+90 212 275 10 84</t>
  </si>
  <si>
    <t xml:space="preserve">https://www.linkedin.com/company/clockwork-agency</t>
  </si>
  <si>
    <t xml:space="preserve">Serves Turkcell, Ziraat, BİM. Premium Maslak office. Enterprise clients.</t>
  </si>
  <si>
    <t xml:space="preserve">Brandaft Digital Agency</t>
  </si>
  <si>
    <t xml:space="preserve">https://brandaft.com/</t>
  </si>
  <si>
    <t xml:space="preserve">+90 552 845 11 80</t>
  </si>
  <si>
    <t xml:space="preserve">https://www.linkedin.com/company/brandaft-digital-agency/</t>
  </si>
  <si>
    <t xml:space="preserve">Şahan Muratoğlu + Benay Özcan (Co-founders)</t>
  </si>
  <si>
    <t xml:space="preserve">Two co-founders public on LinkedIn. Warm DM to founders works well.</t>
  </si>
  <si>
    <t xml:space="preserve">Blakfy</t>
  </si>
  <si>
    <t xml:space="preserve">https://blakfy.com/</t>
  </si>
  <si>
    <t xml:space="preserve">+90 505 979 61 34</t>
  </si>
  <si>
    <t xml:space="preserve">https://www.linkedin.com/company/blakfy</t>
  </si>
  <si>
    <t xml:space="preserve">500+ companies in 5 years. Web + SEO + ads. Use LinkedIn or WhatsApp.</t>
  </si>
  <si>
    <t xml:space="preserve">Moda Kreatif</t>
  </si>
  <si>
    <t xml:space="preserve">https://modakreatif.com/</t>
  </si>
  <si>
    <t xml:space="preserve">hello@modakreatif.com</t>
  </si>
  <si>
    <t xml:space="preserve">https://www.linkedin.com/company/modakreatif/</t>
  </si>
  <si>
    <t xml:space="preserve">Kadıköy boutique. Multi-industry portfolio. LinkedIn company + hello@.</t>
  </si>
  <si>
    <t xml:space="preserve">Studio Sour</t>
  </si>
  <si>
    <t xml:space="preserve">https://studiosour.co/</t>
  </si>
  <si>
    <t xml:space="preserve">hello@studiosour.co</t>
  </si>
  <si>
    <t xml:space="preserve">https://www.linkedin.com/company/studio-sour</t>
  </si>
  <si>
    <t xml:space="preserve">B2B SaaS growth partner. Yappaflow landing-page speed = direct synergy.</t>
  </si>
  <si>
    <t xml:space="preserve">Gricreative</t>
  </si>
  <si>
    <t xml:space="preserve">Istanbul (Kadıköy, Kozyatağı)</t>
  </si>
  <si>
    <t xml:space="preserve">https://gricreative.com/</t>
  </si>
  <si>
    <t xml:space="preserve">info@gricreative.com</t>
  </si>
  <si>
    <t xml:space="preserve">+90 216 450 02 30</t>
  </si>
  <si>
    <t xml:space="preserve">https://www.linkedin.com/company/gri-creative/</t>
  </si>
  <si>
    <t xml:space="preserve">22 yrs, 200+ brands, 1500+ projects. Established mid-market.</t>
  </si>
  <si>
    <t xml:space="preserve">Karen Dijital</t>
  </si>
  <si>
    <t xml:space="preserve">https://karendijital.com/</t>
  </si>
  <si>
    <t xml:space="preserve">hello@karendijital.com</t>
  </si>
  <si>
    <t xml:space="preserve">+90 224 334 11 21</t>
  </si>
  <si>
    <t xml:space="preserve">https://www.linkedin.com/company/karen-dijital/</t>
  </si>
  <si>
    <t xml:space="preserve">KOBİ→kurumsal positioning. Bursa presence. AI focus.</t>
  </si>
  <si>
    <t xml:space="preserve">https://sentezbilisim.com/</t>
  </si>
  <si>
    <t xml:space="preserve">destek@sentezbilisim.com</t>
  </si>
  <si>
    <t xml:space="preserve">Mall of Istanbul address. Web + e-com + SEO. SMB delivery shop.</t>
  </si>
  <si>
    <t xml:space="preserve">BWA Digital</t>
  </si>
  <si>
    <t xml:space="preserve">https://www.bwa.com.tr/</t>
  </si>
  <si>
    <t xml:space="preserve">https://www.linkedin.com/company/bwa-digital/</t>
  </si>
  <si>
    <t xml:space="preserve">Corporate web agency. Use LinkedIn DM.</t>
  </si>
  <si>
    <t xml:space="preserve">Pigu Creative Agency</t>
  </si>
  <si>
    <t xml:space="preserve">https://pigu.com.tr/</t>
  </si>
  <si>
    <t xml:space="preserve">+90 212 706 74 48</t>
  </si>
  <si>
    <t xml:space="preserve">https://tr.linkedin.com/in/bybayezit</t>
  </si>
  <si>
    <t xml:space="preserve">Yıldırım Bayezit (Founder)</t>
  </si>
  <si>
    <t xml:space="preserve">Founded 2017, Kadıköy. Direct founder LinkedIn — best outreach path.</t>
  </si>
  <si>
    <t xml:space="preserve">kreatiFabrika</t>
  </si>
  <si>
    <t xml:space="preserve">https://www.kreatifabrika.com/</t>
  </si>
  <si>
    <t xml:space="preserve">https://www.linkedin.com/company/kreatifabrika/</t>
  </si>
  <si>
    <t xml:space="preserve">1,494 LinkedIn followers. Full-stack creative. LinkedIn DM.</t>
  </si>
  <si>
    <t xml:space="preserve">Koala Project</t>
  </si>
  <si>
    <t xml:space="preserve">https://koalaproject.com.tr/</t>
  </si>
  <si>
    <t xml:space="preserve">info@koalaproject.com.tr</t>
  </si>
  <si>
    <t xml:space="preserve">+90 216 574 51 60</t>
  </si>
  <si>
    <t xml:space="preserve">https://www.linkedin.com/company/11120555/</t>
  </si>
  <si>
    <t xml:space="preserve">Indep creative ad agency since 2014. Data-driven. Client pitch.</t>
  </si>
  <si>
    <t xml:space="preserve">Kontra Creative</t>
  </si>
  <si>
    <t xml:space="preserve">https://www.kontraist.com/</t>
  </si>
  <si>
    <t xml:space="preserve">https://www.behance.net/kontracr</t>
  </si>
  <si>
    <t xml:space="preserve">Creative collective. Behance-first. Pitch as delivery accelerator.</t>
  </si>
  <si>
    <t xml:space="preserve">BBCo Studio</t>
  </si>
  <si>
    <t xml:space="preserve">Istanbul + London + Miami + Berlin</t>
  </si>
  <si>
    <t xml:space="preserve">https://www.bbcostudio.com/</t>
  </si>
  <si>
    <t xml:space="preserve">https://www.linkedin.com/company/bbcostudio/</t>
  </si>
  <si>
    <t xml:space="preserve">Founded 2022, 1000+ brands. Multi-country strategy+creative+tech.</t>
  </si>
  <si>
    <t xml:space="preserve">Genau Media</t>
  </si>
  <si>
    <t xml:space="preserve">https://genaumedia.com/</t>
  </si>
  <si>
    <t xml:space="preserve">https://www.linkedin.com/company/genau-media/</t>
  </si>
  <si>
    <t xml:space="preserve">Social media agency. Kadıköy, Zühtüpaşa. LinkedIn-first outreach.</t>
  </si>
  <si>
    <t xml:space="preserve">Hoops</t>
  </si>
  <si>
    <t xml:space="preserve">Istanbul (Beşiktaş) + Budapest + Malmö</t>
  </si>
  <si>
    <t xml:space="preserve">https://www.linkedin.com/company/hoopstheagency</t>
  </si>
  <si>
    <t xml:space="preserve">360 marcomm; multi-country. Etiler office.</t>
  </si>
  <si>
    <t xml:space="preserve">BrandEnn</t>
  </si>
  <si>
    <t xml:space="preserve">Istanbul (Şişli, Esentepe) + NY</t>
  </si>
  <si>
    <t xml:space="preserve">https://www.brandenn.com/</t>
  </si>
  <si>
    <t xml:space="preserve">contact@brandenn.com</t>
  </si>
  <si>
    <t xml:space="preserve">+90 212 800 79 26</t>
  </si>
  <si>
    <t xml:space="preserve">https://www.linkedin.com/company/brandenn/</t>
  </si>
  <si>
    <t xml:space="preserve">12-person team, 20 yrs. partners@ email = partnership DM. Cross-border.</t>
  </si>
  <si>
    <t xml:space="preserve">BrandTeam Group</t>
  </si>
  <si>
    <t xml:space="preserve">Istanbul (Kadıköy) + Izmir</t>
  </si>
  <si>
    <t xml:space="preserve">https://www.brandteamgroup.com/</t>
  </si>
  <si>
    <t xml:space="preserve">istanbul@brandteamgroup.com</t>
  </si>
  <si>
    <t xml:space="preserve">+90 216 504 20 58</t>
  </si>
  <si>
    <t xml:space="preserve">https://www.linkedin.com/company/brandteamgroup-ist/</t>
  </si>
  <si>
    <t xml:space="preserve">Folkart Towers. Multi-office. Standard client pitch.</t>
  </si>
  <si>
    <t xml:space="preserve">Starter Design</t>
  </si>
  <si>
    <t xml:space="preserve">https://www.linkedin.com/in/korayshahan/</t>
  </si>
  <si>
    <t xml:space="preserve">Boutique brand+identity+web shop. Founder on LinkedIn — direct DM.</t>
  </si>
  <si>
    <t xml:space="preserve">Istanbul (Nişantaşı) + London + Dubai + Antalya</t>
  </si>
  <si>
    <t xml:space="preserve">+44 20 3885 8018</t>
  </si>
  <si>
    <t xml:space="preserve">https://www.linkedin.com/company/markaworks/</t>
  </si>
  <si>
    <t xml:space="preserve">International brand agency, 4 offices. Partnership angle.</t>
  </si>
  <si>
    <t xml:space="preserve">Brand Agents</t>
  </si>
  <si>
    <t xml:space="preserve">Istanbul (Caddebostan)</t>
  </si>
  <si>
    <t xml:space="preserve">https://www.brand-agents.com/</t>
  </si>
  <si>
    <t xml:space="preserve">info@brand-agents.com</t>
  </si>
  <si>
    <t xml:space="preserve">https://www.linkedin.com/company/brand-agents/</t>
  </si>
  <si>
    <t xml:space="preserve">Fırat Şaka + Gökhan Balyemez (Co-founders)</t>
  </si>
  <si>
    <t xml:space="preserve">200+ international brands. Two founders public — warm DM path.</t>
  </si>
  <si>
    <t xml:space="preserve">Lein Digital</t>
  </si>
  <si>
    <t xml:space="preserve">https://leindigital.com/</t>
  </si>
  <si>
    <t xml:space="preserve">+90 530 219 30 72</t>
  </si>
  <si>
    <t xml:space="preserve">https://www.linkedin.com/company/lein-digital/</t>
  </si>
  <si>
    <t xml:space="preserve">Can Bey (senior)</t>
  </si>
  <si>
    <t xml:space="preserve">10+ yrs, Turkey's first GEO agency claim. AI-focused. Client angle.</t>
  </si>
  <si>
    <t xml:space="preserve">Brandistanbul PR</t>
  </si>
  <si>
    <t xml:space="preserve">Istanbul (Nişantaşı)</t>
  </si>
  <si>
    <t xml:space="preserve">https://brandistanbulpr.com/</t>
  </si>
  <si>
    <t xml:space="preserve">+90 212 224 02 25</t>
  </si>
  <si>
    <t xml:space="preserve">https://tr.linkedin.com/company/brandistanbul-public-relations/</t>
  </si>
  <si>
    <t xml:space="preserve">Hatice Kumalar (President)</t>
  </si>
  <si>
    <t xml:space="preserve">PR boutique with 300+ brands. Pitch Yappaflow as quick campaign landing pages.</t>
  </si>
  <si>
    <t xml:space="preserve">Zeo Agency</t>
  </si>
  <si>
    <t xml:space="preserve">Istanbul (Kadıköy) + Ankara + London</t>
  </si>
  <si>
    <t xml:space="preserve">https://www.zeo.org/</t>
  </si>
  <si>
    <t xml:space="preserve">hello@zeo.org</t>
  </si>
  <si>
    <t xml:space="preserve">+90 216 336 90 37</t>
  </si>
  <si>
    <t xml:space="preserve">https://www.linkedin.com/company/zeo/</t>
  </si>
  <si>
    <t xml:space="preserve">Ceyhun Burak Akgül (Co-founder/Co-CEO)</t>
  </si>
  <si>
    <t xml:space="preserve">50+ consultants, SEO/AI heavy. Co-founder LinkedIn reachable.</t>
  </si>
  <si>
    <t xml:space="preserve">Sempeak</t>
  </si>
  <si>
    <t xml:space="preserve">Istanbul (Avcılar + Üsküdar)</t>
  </si>
  <si>
    <t xml:space="preserve">https://www.sempeak.com/</t>
  </si>
  <si>
    <t xml:space="preserve">info@sempeak.com</t>
  </si>
  <si>
    <t xml:space="preserve">+90 216 550 01 35</t>
  </si>
  <si>
    <t xml:space="preserve">https://www.linkedin.com/company/sempeak/</t>
  </si>
  <si>
    <t xml:space="preserve">Since 2011. Digital performance boutique. SMB/mid target.</t>
  </si>
  <si>
    <t xml:space="preserve">Reklam5 Digital Agency</t>
  </si>
  <si>
    <t xml:space="preserve">Istanbul (Zeytinburnu) + NY</t>
  </si>
  <si>
    <t xml:space="preserve">https://reklam5.com/</t>
  </si>
  <si>
    <t xml:space="preserve">info@reklam5.com</t>
  </si>
  <si>
    <t xml:space="preserve">+90 212 356 21 66</t>
  </si>
  <si>
    <t xml:space="preserve">https://www.linkedin.com/company/reklam5/</t>
  </si>
  <si>
    <t xml:space="preserve">83 awards; NYC office. Cross-border delivery target.</t>
  </si>
  <si>
    <t xml:space="preserve">Mobitek SEO Agency</t>
  </si>
  <si>
    <t xml:space="preserve">https://mobitek.com/</t>
  </si>
  <si>
    <t xml:space="preserve">iletisim@mobitek.com</t>
  </si>
  <si>
    <t xml:space="preserve">+90 216 418 08 84</t>
  </si>
  <si>
    <t xml:space="preserve">https://www.linkedin.com/company/mobitek/</t>
  </si>
  <si>
    <t xml:space="preserve">Since 2003, SEO-heavy. Business Istanbul office.</t>
  </si>
  <si>
    <t xml:space="preserve">AORA Digital Agency</t>
  </si>
  <si>
    <t xml:space="preserve">https://www.aora.com.tr/</t>
  </si>
  <si>
    <t xml:space="preserve">info@aora.com.tr</t>
  </si>
  <si>
    <t xml:space="preserve">+90 216 580 97 20</t>
  </si>
  <si>
    <t xml:space="preserve">https://www.linkedin.com/company/aora-digital-agency/</t>
  </si>
  <si>
    <t xml:space="preserve">25 yrs; 179 projects. UK phone too. Cross-border.</t>
  </si>
  <si>
    <t xml:space="preserve">ROIBLE</t>
  </si>
  <si>
    <t xml:space="preserve">Istanbul (Kadıköy, Bağdat Cad)</t>
  </si>
  <si>
    <t xml:space="preserve">https://roible.com/</t>
  </si>
  <si>
    <t xml:space="preserve">https://www.linkedin.com/company/roible/</t>
  </si>
  <si>
    <t xml:space="preserve">Ibrahim (lead)</t>
  </si>
  <si>
    <t xml:space="preserve">Result-oriented turnkey SEO; US/UK/EU markets. LinkedIn-first.</t>
  </si>
  <si>
    <t xml:space="preserve">Adverpeak</t>
  </si>
  <si>
    <t xml:space="preserve">https://adverpeak.com/</t>
  </si>
  <si>
    <t xml:space="preserve">digital@adverpeak.com</t>
  </si>
  <si>
    <t xml:space="preserve">+90 216 606 85 58</t>
  </si>
  <si>
    <t xml:space="preserve">https://www.linkedin.com/company/adverpeak/</t>
  </si>
  <si>
    <t xml:space="preserve">Since 2010, conversion-focused. Small-mid shop.</t>
  </si>
  <si>
    <t xml:space="preserve">Seobaz</t>
  </si>
  <si>
    <t xml:space="preserve">Mersin + Istanbul (Sarıyer)</t>
  </si>
  <si>
    <t xml:space="preserve">https://seobaz.com/</t>
  </si>
  <si>
    <t xml:space="preserve">info@seobaz.com</t>
  </si>
  <si>
    <t xml:space="preserve">+90 850 840 95 39</t>
  </si>
  <si>
    <t xml:space="preserve">https://tr.linkedin.com/company/seobaz</t>
  </si>
  <si>
    <t xml:space="preserve">Mersin HQ = rare regional mid-shop. AI/SEO focus.</t>
  </si>
  <si>
    <t xml:space="preserve">İmza SEO Agency</t>
  </si>
  <si>
    <t xml:space="preserve">Konya</t>
  </si>
  <si>
    <t xml:space="preserve">https://www.imza.com/</t>
  </si>
  <si>
    <t xml:space="preserve">https://www.linkedin.com/company/imzainternet/</t>
  </si>
  <si>
    <t xml:space="preserve">Konya since 2011, 10-49 ppl. Regional SEO shop; Yappaflow pairs with SEO delivery.</t>
  </si>
  <si>
    <t xml:space="preserve">+90 850 346 60 71</t>
  </si>
  <si>
    <t xml:space="preserve">https://www.linkedin.com/company/artelio-creative/</t>
  </si>
  <si>
    <t xml:space="preserve">Official ikas business partner. Training + live support focus. Partnership fit.</t>
  </si>
  <si>
    <t xml:space="preserve">https://tr.linkedin.com/in/artnovacreativecom</t>
  </si>
  <si>
    <t xml:space="preserve">ikas partner, API integration expertise. Marketplace specialist.</t>
  </si>
  <si>
    <t xml:space="preserve">CreaTwins</t>
  </si>
  <si>
    <t xml:space="preserve">Istanbul (Ümraniye)</t>
  </si>
  <si>
    <t xml:space="preserve">https://creatwins.com/</t>
  </si>
  <si>
    <t xml:space="preserve">+90 850 303 12 26</t>
  </si>
  <si>
    <t xml:space="preserve">https://www.linkedin.com/company/creatwins/</t>
  </si>
  <si>
    <t xml:space="preserve">ikas consultant agency. E-com product photography focus. Warm partnership.</t>
  </si>
  <si>
    <t xml:space="preserve">Mimoza Bilişim</t>
  </si>
  <si>
    <t xml:space="preserve">Zonguldak (Ereğli)</t>
  </si>
  <si>
    <t xml:space="preserve">https://mimozabilisim.com/</t>
  </si>
  <si>
    <t xml:space="preserve">onurkalafat67@gmail.com</t>
  </si>
  <si>
    <t xml:space="preserve">+90 530 571 40 67</t>
  </si>
  <si>
    <t xml:space="preserve">https://www.linkedin.com/in/onurkalafat/</t>
  </si>
  <si>
    <t xml:space="preserve">Onur Kalafat (Founder)</t>
  </si>
  <si>
    <t xml:space="preserve">ikas partner, AI/GEO focus. Founder direct email. Regional = rare.</t>
  </si>
  <si>
    <t xml:space="preserve">Ajans Max</t>
  </si>
  <si>
    <t xml:space="preserve">https://ajansmax.com.tr/</t>
  </si>
  <si>
    <t xml:space="preserve">https://www.linkedin.com/company/ajans-max/</t>
  </si>
  <si>
    <t xml:space="preserve">ikas partner with e-commerce support. Partnership DM via LinkedIn.</t>
  </si>
  <si>
    <t xml:space="preserve">Perest</t>
  </si>
  <si>
    <t xml:space="preserve">https://perest.com/</t>
  </si>
  <si>
    <t xml:space="preserve">+90 850 242 33 32</t>
  </si>
  <si>
    <t xml:space="preserve">https://www.linkedin.com/company/perest/</t>
  </si>
  <si>
    <t xml:space="preserve">360 performance agency, Meta/Google certified. Phone + LinkedIn.</t>
  </si>
  <si>
    <t xml:space="preserve">GNS Ajans</t>
  </si>
  <si>
    <t xml:space="preserve">Istanbul (Küçükçekmece)</t>
  </si>
  <si>
    <t xml:space="preserve">https://www.gnsajans.com/</t>
  </si>
  <si>
    <t xml:space="preserve">+90 212 909 04 34</t>
  </si>
  <si>
    <t xml:space="preserve">https://www.linkedin.com/company/GNSAjans</t>
  </si>
  <si>
    <t xml:space="preserve">Mid-shop, currently rebranding. LinkedIn DM.</t>
  </si>
  <si>
    <t xml:space="preserve">Grimor Web Design</t>
  </si>
  <si>
    <t xml:space="preserve">Since 2004, web + e-com + SEO. 20 yrs, good baseline agency.</t>
  </si>
  <si>
    <t xml:space="preserve">Taksim Ajans</t>
  </si>
  <si>
    <t xml:space="preserve">Edirne + Istanbul</t>
  </si>
  <si>
    <t xml:space="preserve">https://taksimajans.com.tr/</t>
  </si>
  <si>
    <t xml:space="preserve">https://www.linkedin.com/company/taksim-ajans/</t>
  </si>
  <si>
    <t xml:space="preserve">Edirne regional coverage — rare. Small shop.</t>
  </si>
  <si>
    <t xml:space="preserve">Full-stack Vue/React/Laravel freelancer since 2008. Perfect white-label partner.</t>
  </si>
  <si>
    <t xml:space="preserve">Gökhan Çınar</t>
  </si>
  <si>
    <t xml:space="preserve">https://www.linkedin.com/in/gokhaanc/</t>
  </si>
  <si>
    <t xml:space="preserve">Indie maker, engagement+sales design focus. LinkedIn-first outreach.</t>
  </si>
  <si>
    <t xml:space="preserve">Ayşe Akar</t>
  </si>
  <si>
    <t xml:space="preserve">Ankara / Izmir</t>
  </si>
  <si>
    <t xml:space="preserve">https://www.linkedin.com/in/ayse-akar/</t>
  </si>
  <si>
    <t xml:space="preserve">Front-end dev, WordPress + modern FE. LinkedIn DM.</t>
  </si>
  <si>
    <t xml:space="preserve">Yasin Yalçın</t>
  </si>
  <si>
    <t xml:space="preserve">https://www.linkedin.com/in/yasinyalccin/</t>
  </si>
  <si>
    <t xml:space="preserve">Startup freelance web dev at Masspace. LinkedIn DM.</t>
  </si>
  <si>
    <t xml:space="preserve">Ibrahim Tigrek</t>
  </si>
  <si>
    <t xml:space="preserve">Ankara / Istanbul</t>
  </si>
  <si>
    <t xml:space="preserve">https://www.linkedin.com/in/ibrahim-tigrek/</t>
  </si>
  <si>
    <t xml:space="preserve">Software developer, Ankara/Istanbul. LinkedIn DM.</t>
  </si>
  <si>
    <t xml:space="preserve">Grow Dijital Ajans</t>
  </si>
  <si>
    <t xml:space="preserve">https://growdijitalajans.com/</t>
  </si>
  <si>
    <t xml:space="preserve">info@growdijitalajans.com</t>
  </si>
  <si>
    <t xml:space="preserve">+90 530 024 38 67</t>
  </si>
  <si>
    <t xml:space="preserve">Boutique digital agency, Kadıköy-based. Social + web. Small team. Email primary.</t>
  </si>
  <si>
    <t xml:space="preserve">AWT Dijital (Erzurum Web)</t>
  </si>
  <si>
    <t xml:space="preserve">Erzurum + Ankara + Istanbul + Izmir</t>
  </si>
  <si>
    <t xml:space="preserve">https://www.erzurumweb.com.tr/</t>
  </si>
  <si>
    <t xml:space="preserve">info@erzurumweb.com.tr</t>
  </si>
  <si>
    <t xml:space="preserve">+90 444 7298</t>
  </si>
  <si>
    <t xml:space="preserve">Regional shop with multi-city presence. Web + SEO + social. Eastern TR coverage is a differentiator.</t>
  </si>
  <si>
    <t xml:space="preserve">Workuid</t>
  </si>
  <si>
    <t xml:space="preserve">https://workuid.com/</t>
  </si>
  <si>
    <t xml:space="preserve">hello@workuid.com</t>
  </si>
  <si>
    <t xml:space="preserve">+90 532 313 59 91</t>
  </si>
  <si>
    <t xml:space="preserve">https://www.linkedin.com/company/workuid/</t>
  </si>
  <si>
    <t xml:space="preserve">Multi-platform e-commerce setup: Shopify, ikas, Ticimax, Tsoft. LinkedIn-first outreach; partnership pitch fits.</t>
  </si>
  <si>
    <t xml:space="preserve">Zemedya</t>
  </si>
  <si>
    <t xml:space="preserve">https://www.zemedya.com/</t>
  </si>
  <si>
    <t xml:space="preserve">info@zemedya.com</t>
  </si>
  <si>
    <t xml:space="preserve">+90 216 606 74 69</t>
  </si>
  <si>
    <t xml:space="preserve">https://www.linkedin.com/company/zemedya-internet-hizmetleri/</t>
  </si>
  <si>
    <t xml:space="preserve">18+ yrs, healthcare/tourism/travel web. LinkedIn company page active.</t>
  </si>
  <si>
    <t xml:space="preserve">WegaBT</t>
  </si>
  <si>
    <t xml:space="preserve">Antalya (Kepez) + Trabzon</t>
  </si>
  <si>
    <t xml:space="preserve">https://www.wegabt.com/</t>
  </si>
  <si>
    <t xml:space="preserve">bilgi@wegabt.com</t>
  </si>
  <si>
    <t xml:space="preserve">+90 554 898 80 89</t>
  </si>
  <si>
    <t xml:space="preserve">https://www.linkedin.com/company/wegabilgiteknolojileri/</t>
  </si>
  <si>
    <t xml:space="preserve">15+ yrs. Dual-city (Antalya/Trabzon). LinkedIn active. Web + e-com + SEO.</t>
  </si>
  <si>
    <t xml:space="preserve">SEO Turuncu</t>
  </si>
  <si>
    <t xml:space="preserve">Istanbul (Şişli) + Miami</t>
  </si>
  <si>
    <t xml:space="preserve">https://www.seoturuncu.com/</t>
  </si>
  <si>
    <t xml:space="preserve">+90 537 522 49 06</t>
  </si>
  <si>
    <t xml:space="preserve">https://www.linkedin.com/company/seo-turuncu/</t>
  </si>
  <si>
    <t xml:space="preserve">E-com consultancy + ikas partner. LinkedIn-first — no public email, DM via LinkedIn.</t>
  </si>
  <si>
    <t xml:space="preserve">Arisdot Digital</t>
  </si>
  <si>
    <t xml:space="preserve">Eskişehir + Istanbul + Berlin</t>
  </si>
  <si>
    <t xml:space="preserve">https://www.arisdot.com/</t>
  </si>
  <si>
    <t xml:space="preserve">hello@arisdot.com</t>
  </si>
  <si>
    <t xml:space="preserve">+90 222 226 000 1</t>
  </si>
  <si>
    <t xml:space="preserve">https://www.linkedin.com/company/arisdotdigital/</t>
  </si>
  <si>
    <t xml:space="preserve">13 yrs, UX/UI + e-com, multi-country. Small-mid team. hello@ + LinkedIn.</t>
  </si>
  <si>
    <t xml:space="preserve">Adres Ajans</t>
  </si>
  <si>
    <t xml:space="preserve">https://www.adresajans.com/</t>
  </si>
  <si>
    <t xml:space="preserve">naci@adresajans.com</t>
  </si>
  <si>
    <t xml:space="preserve">+90 342 215 16 06</t>
  </si>
  <si>
    <t xml:space="preserve">Naci (owner)</t>
  </si>
  <si>
    <t xml:space="preserve">Gaziantep boutique. Founder email direct. Regional small-business clients.</t>
  </si>
  <si>
    <t xml:space="preserve">Var Ajans</t>
  </si>
  <si>
    <t xml:space="preserve">https://www.varajans.com/</t>
  </si>
  <si>
    <t xml:space="preserve">info@varajans.com</t>
  </si>
  <si>
    <t xml:space="preserve">+90 544 784 85 25</t>
  </si>
  <si>
    <t xml:space="preserve">Gaziantep SMB agency since 2015. Web/social/video.</t>
  </si>
  <si>
    <t xml:space="preserve">Fikir Sanat Medya</t>
  </si>
  <si>
    <t xml:space="preserve">https://www.fikirsanatmedya.com.tr/</t>
  </si>
  <si>
    <t xml:space="preserve">info@fikirsanatmedya.com.tr</t>
  </si>
  <si>
    <t xml:space="preserve">+90 850 466 0 376</t>
  </si>
  <si>
    <t xml:space="preserve">https://linkedin.com/in/fikir-sanat-creative-a58385318</t>
  </si>
  <si>
    <t xml:space="preserve">Gaziantep creative shop. Packaging + web + digital.</t>
  </si>
  <si>
    <t xml:space="preserve">F13 İstanbul</t>
  </si>
  <si>
    <t xml:space="preserve">https://f13istanbul.com/</t>
  </si>
  <si>
    <t xml:space="preserve">info@f13istanbul.com</t>
  </si>
  <si>
    <t xml:space="preserve">+90 212 843 40 72</t>
  </si>
  <si>
    <t xml:space="preserve">Young (est. 2023) indie agency, creative X tech. Works with premium brands. Good partnership fit.</t>
  </si>
  <si>
    <t xml:space="preserve">MSH Creative</t>
  </si>
  <si>
    <t xml:space="preserve">Istanbul (Bahçelievler)</t>
  </si>
  <si>
    <t xml:space="preserve">https://mshcreative.com/</t>
  </si>
  <si>
    <t xml:space="preserve">info@mshcreative.com</t>
  </si>
  <si>
    <t xml:space="preserve">+90 533 738 36 74</t>
  </si>
  <si>
    <t xml:space="preserve">10-yr, 27-person shop. 230+ brands, healthcare/real-estate/tourism. Full-service digital.</t>
  </si>
  <si>
    <t xml:space="preserve">EFORWEB</t>
  </si>
  <si>
    <t xml:space="preserve">Mersin (Yenişehir)</t>
  </si>
  <si>
    <t xml:space="preserve">https://www.eforweb.com/</t>
  </si>
  <si>
    <t xml:space="preserve">eforweb@eforweb.com</t>
  </si>
  <si>
    <t xml:space="preserve">+90 324 325 99 33</t>
  </si>
  <si>
    <t xml:space="preserve">https://www.linkedin.com/company/eforweb-internet-çözümleri/</t>
  </si>
  <si>
    <t xml:space="preserve">Since 1999. Google Partner. Regional Mersin SMB anchor. Stable shop.</t>
  </si>
  <si>
    <t xml:space="preserve">Üç Yirmiiki (3.22)</t>
  </si>
  <si>
    <t xml:space="preserve">https://www.ucyirmiiki.com/</t>
  </si>
  <si>
    <t xml:space="preserve">info@ucyirmiiki.com</t>
  </si>
  <si>
    <t xml:space="preserve">+90 322 457 83 22</t>
  </si>
  <si>
    <t xml:space="preserve">Adana boutique — graphic + web + social. Home-office team = small.</t>
  </si>
  <si>
    <t xml:space="preserve">Talya Tasarım</t>
  </si>
  <si>
    <t xml:space="preserve">https://talyatasarim.com/</t>
  </si>
  <si>
    <t xml:space="preserve">info@talyatasarim.com</t>
  </si>
  <si>
    <t xml:space="preserve">+90 543 499 55 55</t>
  </si>
  <si>
    <t xml:space="preserve">Antalya creative digital shop. Web + brand. Dual email for sales/support.</t>
  </si>
  <si>
    <t xml:space="preserve">İMER İletişim</t>
  </si>
  <si>
    <t xml:space="preserve">Antalya (Serik)</t>
  </si>
  <si>
    <t xml:space="preserve">https://imeriletisim.com.tr/</t>
  </si>
  <si>
    <t xml:space="preserve">info@imeriletisim.com.tr</t>
  </si>
  <si>
    <t xml:space="preserve">+90 545 636 16 48</t>
  </si>
  <si>
    <t xml:space="preserve">https://www.linkedin.com/in/imer-iletisim-ve-reklam-ajansi-38b864297/</t>
  </si>
  <si>
    <t xml:space="preserve">360° Antalya shop w/ LinkedIn presence. Web + mobile + brand consult.</t>
  </si>
  <si>
    <t xml:space="preserve">Ovi Medya</t>
  </si>
  <si>
    <t xml:space="preserve">Antalya + Istanbul (Levent) + Ankara (Çankaya)</t>
  </si>
  <si>
    <t xml:space="preserve">https://www.ovimedya.com/</t>
  </si>
  <si>
    <t xml:space="preserve">ovimedya@ajansovono.com</t>
  </si>
  <si>
    <t xml:space="preserve">+90 533 500 93 17</t>
  </si>
  <si>
    <t xml:space="preserve">10+ yr social-heavy shop, 3 cities. Owner under Ovono A.Ş. — responsive email.</t>
  </si>
  <si>
    <t xml:space="preserve">WAX Ajans</t>
  </si>
  <si>
    <t xml:space="preserve">https://www.waxajans.com/</t>
  </si>
  <si>
    <t xml:space="preserve">info@waxajans.com</t>
  </si>
  <si>
    <t xml:space="preserve">+90 242 312 35 43</t>
  </si>
  <si>
    <t xml:space="preserve">https://www.linkedin.com/company/waxajans/</t>
  </si>
  <si>
    <t xml:space="preserve">Antalya web + hotel management systems. Hospitality niche.</t>
  </si>
  <si>
    <t xml:space="preserve">Gözde Ajans</t>
  </si>
  <si>
    <t xml:space="preserve">Aksaray</t>
  </si>
  <si>
    <t xml:space="preserve">https://www.gozdeajans.com.tr/</t>
  </si>
  <si>
    <t xml:space="preserve">info@gozdeajans.com.tr</t>
  </si>
  <si>
    <t xml:space="preserve">+90 382 213 33 45</t>
  </si>
  <si>
    <t xml:space="preserve">Aksaray full-service agency. Regional anchor — less competition.</t>
  </si>
  <si>
    <t xml:space="preserve">Stage Dijital</t>
  </si>
  <si>
    <t xml:space="preserve">https://stagedijital.com/</t>
  </si>
  <si>
    <t xml:space="preserve">merhaba@stagedijital.com</t>
  </si>
  <si>
    <t xml:space="preserve">https://www.linkedin.com/company/thestagedigital/</t>
  </si>
  <si>
    <t xml:space="preserve">Konya 15-yr shop. Modern brand, LinkedIn-active, e-com + mobile + web.</t>
  </si>
  <si>
    <t xml:space="preserve">UGR Reklam Ajansı</t>
  </si>
  <si>
    <t xml:space="preserve">Konya (Karatay)</t>
  </si>
  <si>
    <t xml:space="preserve">https://ugrajans.com.tr/</t>
  </si>
  <si>
    <t xml:space="preserve">bilgi@ugrajans.com</t>
  </si>
  <si>
    <t xml:space="preserve">+90 332 351 51 96</t>
  </si>
  <si>
    <t xml:space="preserve">https://tr.linkedin.com/company/ugrreklamajansi</t>
  </si>
  <si>
    <t xml:space="preserve">Konya design/digital boutique, LinkedIn-active. Regional.</t>
  </si>
  <si>
    <t xml:space="preserve">Bariz Medya</t>
  </si>
  <si>
    <t xml:space="preserve">https://www.barizmedya.com/</t>
  </si>
  <si>
    <t xml:space="preserve">+90 507 564 09 32</t>
  </si>
  <si>
    <t xml:space="preserve">https://www.linkedin.com/company/barizmedya/</t>
  </si>
  <si>
    <t xml:space="preserve">Kocaeli SMB agency. LinkedIn-first — no public email; DM on LinkedIn/WhatsApp.</t>
  </si>
  <si>
    <t xml:space="preserve">Meri Creative</t>
  </si>
  <si>
    <t xml:space="preserve">Istanbul (Taksim)</t>
  </si>
  <si>
    <t xml:space="preserve">https://mericreative.com/</t>
  </si>
  <si>
    <t xml:space="preserve">info@mericreative.com</t>
  </si>
  <si>
    <t xml:space="preserve">+90 212 251 00 18</t>
  </si>
  <si>
    <t xml:space="preserve">https://www.linkedin.com/company/mericreative/</t>
  </si>
  <si>
    <t xml:space="preserve">Boutique creative agency since 2015. Branding + web. LinkedIn-active.</t>
  </si>
  <si>
    <t xml:space="preserve">Creodive</t>
  </si>
  <si>
    <t xml:space="preserve">https://www.creodive.com.tr/</t>
  </si>
  <si>
    <t xml:space="preserve">hi@creodive.com.tr</t>
  </si>
  <si>
    <t xml:space="preserve">+90 544 240 71 99</t>
  </si>
  <si>
    <t xml:space="preserve">https://tr.linkedin.com/company/creodive</t>
  </si>
  <si>
    <t xml:space="preserve">Award-winning Istanbul digital shop. hi@ email + LinkedIn presence.</t>
  </si>
  <si>
    <t xml:space="preserve">MaunaUP</t>
  </si>
  <si>
    <t xml:space="preserve">Samsun (Atakum)</t>
  </si>
  <si>
    <t xml:space="preserve">https://maunaup.com/</t>
  </si>
  <si>
    <t xml:space="preserve">info@maunaup.com</t>
  </si>
  <si>
    <t xml:space="preserve">+90 362 438 30 60</t>
  </si>
  <si>
    <t xml:space="preserve">https://www.linkedin.com/company/maunaupcom/</t>
  </si>
  <si>
    <t xml:space="preserve">Samsun digital media agency, LinkedIn-active. Karadeniz region anchor.</t>
  </si>
  <si>
    <t xml:space="preserve">KNZ Ajans</t>
  </si>
  <si>
    <t xml:space="preserve">https://www.knzajans.com.tr/</t>
  </si>
  <si>
    <t xml:space="preserve">info@knzajans.com.tr</t>
  </si>
  <si>
    <t xml:space="preserve">+90 507 631 73 82</t>
  </si>
  <si>
    <t xml:space="preserve">https://www.linkedin.com/company/82085328/</t>
  </si>
  <si>
    <t xml:space="preserve">Denizli boutique. Web + SEO + QR menu. LinkedIn company page.</t>
  </si>
  <si>
    <t xml:space="preserve">MAC ART</t>
  </si>
  <si>
    <t xml:space="preserve">Denizli (ops Istanbul/Izmir/Muğla)</t>
  </si>
  <si>
    <t xml:space="preserve">https://macart.com.tr/</t>
  </si>
  <si>
    <t xml:space="preserve">bilgi@macart.com.tr</t>
  </si>
  <si>
    <t xml:space="preserve">+90 532 491 43 48</t>
  </si>
  <si>
    <t xml:space="preserve">30-yr brand design + digital. Denizli HQ, multi-city ops.</t>
  </si>
  <si>
    <t xml:space="preserve">Wemotion İstanbul</t>
  </si>
  <si>
    <t xml:space="preserve">https://www.wemotionistanbul.com/</t>
  </si>
  <si>
    <t xml:space="preserve">hello@wemotionistanbul.com</t>
  </si>
  <si>
    <t xml:space="preserve">+90 507 422 91 65</t>
  </si>
  <si>
    <t xml:space="preserve">https://www.linkedin.com/company/wemotionistanbul/</t>
  </si>
  <si>
    <t xml:space="preserve">Creative agency — branding + motion + web. 80+ brands. hello@ + LinkedIn.</t>
  </si>
  <si>
    <t xml:space="preserve">Esla Medya</t>
  </si>
  <si>
    <t xml:space="preserve">Denizli + Antalya</t>
  </si>
  <si>
    <t xml:space="preserve">https://eslamedya.com/</t>
  </si>
  <si>
    <t xml:space="preserve">info@eslamedya.com</t>
  </si>
  <si>
    <t xml:space="preserve">+90 850 812 37 52</t>
  </si>
  <si>
    <t xml:space="preserve">Dual-city Aegean/Mediterranean shop. Web + social. 4 office phones.</t>
  </si>
  <si>
    <t xml:space="preserve">Samsun sustainability-focused boutique. Local businesses only. LinkedIn DM via website contact form.</t>
  </si>
  <si>
    <t xml:space="preserve">Ekin Pekyiğit</t>
  </si>
  <si>
    <t xml:space="preserve">https://www.linkedin.com/in/ekinpekyigit/</t>
  </si>
  <si>
    <t xml:space="preserve">Senior UI/UX designer — LinkedIn-first DM. Personal brand strong.</t>
  </si>
  <si>
    <t xml:space="preserve">Can Ünal</t>
  </si>
  <si>
    <t xml:space="preserve">https://www.linkedin.com/in/canunal/</t>
  </si>
  <si>
    <t xml:space="preserve">Product designer — LinkedIn-first DM.</t>
  </si>
  <si>
    <t xml:space="preserve">Ekrem Köse</t>
  </si>
  <si>
    <t xml:space="preserve">Istanbul / Ankara</t>
  </si>
  <si>
    <t xml:space="preserve">https://www.linkedin.com/in/ekrem-kose/</t>
  </si>
  <si>
    <t xml:space="preserve">UI/UX freelancer — LinkedIn DM only.</t>
  </si>
  <si>
    <t xml:space="preserve">Tuğba Işık</t>
  </si>
  <si>
    <t xml:space="preserve">https://www.linkedin.com/in/tugbaisik/</t>
  </si>
  <si>
    <t xml:space="preserve">UI/UX designer, LinkedIn-active. DM with Yappaflow positioning.</t>
  </si>
  <si>
    <t xml:space="preserve">Oğuzhan Öz</t>
  </si>
  <si>
    <t xml:space="preserve">https://www.behance.net/oguzhanozuag</t>
  </si>
  <si>
    <t xml:space="preserve">https://www.linkedin.com/in/oguzhan-oz/</t>
  </si>
  <si>
    <t xml:space="preserve">Freelance creative developer. Behance + LinkedIn. Strong solo dev + design.</t>
  </si>
  <si>
    <t xml:space="preserve">SIMPLEIST</t>
  </si>
  <si>
    <t xml:space="preserve">https://www.simple-ist.com/</t>
  </si>
  <si>
    <t xml:space="preserve">request@simple-ist.com</t>
  </si>
  <si>
    <t xml:space="preserve">+90 850 473 14 13</t>
  </si>
  <si>
    <t xml:space="preserve">International-focused marketing agency. 6 languages, real-estate/tourism niche. Unique email (request@).</t>
  </si>
  <si>
    <t xml:space="preserve">Macfly Reklam Ajansı</t>
  </si>
  <si>
    <t xml:space="preserve">https://www.macfly.com.tr/</t>
  </si>
  <si>
    <t xml:space="preserve">info@macfly.com.tr</t>
  </si>
  <si>
    <t xml:space="preserve">+90 312 911 99 17</t>
  </si>
  <si>
    <t xml:space="preserve">Ankara digital media agency. Brand + social + SEO. Medium-small shop.</t>
  </si>
  <si>
    <t xml:space="preserve">Ajans Bulut</t>
  </si>
  <si>
    <t xml:space="preserve">https://www.ajansbulut.com/</t>
  </si>
  <si>
    <t xml:space="preserve">bilgi@ajansbulut.com</t>
  </si>
  <si>
    <t xml:space="preserve">+90 224 888 00 95</t>
  </si>
  <si>
    <t xml:space="preserve">https://www.linkedin.com/company/ajans-bulut/</t>
  </si>
  <si>
    <t xml:space="preserve">Bursa's self-styled leading digital shop since 2015. LinkedIn company presence.</t>
  </si>
  <si>
    <t xml:space="preserve">Taha Erel</t>
  </si>
  <si>
    <t xml:space="preserve">https://tahaerel.com/</t>
  </si>
  <si>
    <t xml:space="preserve">https://www.linkedin.com/in/tahaerel/</t>
  </si>
  <si>
    <t xml:space="preserve">Freelance WordPress/full-stack web dev. Personal portfolio + LinkedIn (500+ conn).</t>
  </si>
  <si>
    <t xml:space="preserve">Ahtapot Sosyal Medya</t>
  </si>
  <si>
    <t xml:space="preserve">https://www.ahtapotsosyalmedya.com/</t>
  </si>
  <si>
    <t xml:space="preserve">info@ahtapotsm.com</t>
  </si>
  <si>
    <t xml:space="preserve">+90 212 212 32 33</t>
  </si>
  <si>
    <t xml:space="preserve">https://www.linkedin.com/company/ahtapot-sosyal-medya/</t>
  </si>
  <si>
    <t xml:space="preserve">Mid-boutique (50 people), creative/social-heavy. 2014. Good LinkedIn presence.</t>
  </si>
  <si>
    <t xml:space="preserve">Proji Digital</t>
  </si>
  <si>
    <t xml:space="preserve">Izmir (Bayraklı) + Istanbul (Sarıyer)</t>
  </si>
  <si>
    <t xml:space="preserve">https://proji.com.tr/</t>
  </si>
  <si>
    <t xml:space="preserve">info@proji.com.tr</t>
  </si>
  <si>
    <t xml:space="preserve">+90 232 433 74 16</t>
  </si>
  <si>
    <t xml:space="preserve">https://www.linkedin.com/company/projicomtr/</t>
  </si>
  <si>
    <t xml:space="preserve">Dual-city (Izmir/Istanbul) digital agency since 2015. LinkedIn-active.</t>
  </si>
  <si>
    <t xml:space="preserve">Zolpix</t>
  </si>
  <si>
    <t xml:space="preserve">https://kagithane.zolpix.com/</t>
  </si>
  <si>
    <t xml:space="preserve">info@zolpix.com</t>
  </si>
  <si>
    <t xml:space="preserve">+90 505 219 18 52</t>
  </si>
  <si>
    <t xml:space="preserve">District-focused Istanbul shop (39 districts). Transparent pricing (18K-85K TL).</t>
  </si>
  <si>
    <t xml:space="preserve">Rekclick</t>
  </si>
  <si>
    <t xml:space="preserve">Istanbul (4.Levent)</t>
  </si>
  <si>
    <t xml:space="preserve">https://www.rekclick.com/</t>
  </si>
  <si>
    <t xml:space="preserve">merhaba@rekclick.com</t>
  </si>
  <si>
    <t xml:space="preserve">+90 212 269 95 96</t>
  </si>
  <si>
    <t xml:space="preserve">https://www.linkedin.com/company/rekclick/</t>
  </si>
  <si>
    <t xml:space="preserve">15-yr Levent-based 360° digital agency. merhaba@ — warm tone; Turkish-market-fit.</t>
  </si>
  <si>
    <t xml:space="preserve">Ozge Keles</t>
  </si>
  <si>
    <t xml:space="preserve">https://www.ozgekeles.com/</t>
  </si>
  <si>
    <t xml:space="preserve">https://www.linkedin.com/in/ozge-keles-webflow/</t>
  </si>
  <si>
    <t xml:space="preserve">Certified Webflow Partner (since 2024). Solo freelancer, $5K+ projects. Strong Yappaflow fit (static-site alignment).</t>
  </si>
  <si>
    <t xml:space="preserve">Berkay Çınar</t>
  </si>
  <si>
    <t xml:space="preserve">https://www.berkaycinar.com/</t>
  </si>
  <si>
    <t xml:space="preserve">https://linkedin.com/in/berkaycinar</t>
  </si>
  <si>
    <t xml:space="preserve">UI/UX/interaction designer w/ personal site. Behance + LinkedIn. LinkedIn-first DM.</t>
  </si>
  <si>
    <t xml:space="preserve">Tolga Taşcı</t>
  </si>
  <si>
    <t xml:space="preserve">https://www.tolgatasci.co.uk/</t>
  </si>
  <si>
    <t xml:space="preserve">https://www.behance.net/tolgatasci</t>
  </si>
  <si>
    <t xml:space="preserve">Senior UX/UI designer with international focus. Behance + personal .co.uk site.</t>
  </si>
  <si>
    <t xml:space="preserve">Gelişim Medya</t>
  </si>
  <si>
    <t xml:space="preserve">https://www.gelisimmedya.com/</t>
  </si>
  <si>
    <t xml:space="preserve">info@gelisimmedya.com</t>
  </si>
  <si>
    <t xml:space="preserve">Multi-city regional shop (Kayseri/Malatya/Elazığ). Eastern Anatolia coverage niche.</t>
  </si>
  <si>
    <t xml:space="preserve">OXO Creative</t>
  </si>
  <si>
    <t xml:space="preserve">https://oxocreative.com/</t>
  </si>
  <si>
    <t xml:space="preserve">info@oxocreative.com</t>
  </si>
  <si>
    <t xml:space="preserve">Kayseri boutique. Google Ads + web + brand. Small team. Regional.</t>
  </si>
  <si>
    <t xml:space="preserve">Total leads</t>
  </si>
  <si>
    <t xml:space="preserve">High-priority</t>
  </si>
  <si>
    <t xml:space="preserve">Partnership-angle leads</t>
  </si>
  <si>
    <t xml:space="preserve">Agencies</t>
  </si>
  <si>
    <t xml:space="preserve">Freelancers</t>
  </si>
  <si>
    <t xml:space="preserve">Platform partners</t>
  </si>
  <si>
    <t xml:space="preserve">Samsun — in-person visit list (küçük/orta web ajansları)</t>
  </si>
  <si>
    <t xml:space="preserve">Address-first list of small/medium Samsun web/digital agencies. Full addresses + phones are primary because Yusuf Mirza plans to walk into offices; email / LinkedIn / Instagram are fallback.</t>
  </si>
  <si>
    <t xml:space="preserve">District (İlçe)</t>
  </si>
  <si>
    <t xml:space="preserve">Neighborhood (Mahalle)</t>
  </si>
  <si>
    <t xml:space="preserve">Full Address</t>
  </si>
  <si>
    <t xml:space="preserve">Socials</t>
  </si>
  <si>
    <t xml:space="preserve">Visit Priority</t>
  </si>
  <si>
    <t xml:space="preserve">Notes</t>
  </si>
  <si>
    <t xml:space="preserve">Visit Status</t>
  </si>
  <si>
    <t xml:space="preserve">Atakum</t>
  </si>
  <si>
    <t xml:space="preserve">Cumhuriyet Mah.</t>
  </si>
  <si>
    <t xml:space="preserve">Cumhuriyet Mah. Atatürk Bulv. No:327, Kat:3 Daire:13, Yavuz Grup İş Merkezi, Atakum/Samsun</t>
  </si>
  <si>
    <t xml:space="preserve">LinkedIn: maunaupcom · IG: @maunaupcom</t>
  </si>
  <si>
    <t xml:space="preserve">Full digital-media agency, LinkedIn-active. Walking in as a fellow Samsun developer is a strong opener — ask for the founder.</t>
  </si>
  <si>
    <t xml:space="preserve">Dijital10 Marka ve Strateji</t>
  </si>
  <si>
    <t xml:space="preserve">Cumhuriyet Mah. Doğuş Cad. 38. Sk. No:2/8, Yavuz Tuna Center, Atakum/Samsun</t>
  </si>
  <si>
    <t xml:space="preserve">+90 539 771 34 54</t>
  </si>
  <si>
    <t xml:space="preserve">destek@dijital10.com</t>
  </si>
  <si>
    <t xml:space="preserve">https://www.dijital10.com/</t>
  </si>
  <si>
    <t xml:space="preserve">IG: @dijital10 · X: @Dijital10com</t>
  </si>
  <si>
    <t xml:space="preserve">Brand + strategy agency inside Yavuz Tuna Center. Same building as Mustafa Sarıca (freelance) — you can double-hit in one trip.</t>
  </si>
  <si>
    <t xml:space="preserve">Mustafa Sarıca (freelance)</t>
  </si>
  <si>
    <t xml:space="preserve">Yavuz Tuna Center, Doğuş Cd. 38. Sk. No:2/8, Atakum/Samsun</t>
  </si>
  <si>
    <t xml:space="preserve">+90 543 535 15 13</t>
  </si>
  <si>
    <t xml:space="preserve">merhaba@mustafasarica.com</t>
  </si>
  <si>
    <t xml:space="preserve">https://mustafasarica.com/</t>
  </si>
  <si>
    <t xml:space="preserve">IG: @mustafasarica_com · LinkedIn: mustafa-sarica</t>
  </si>
  <si>
    <t xml:space="preserve">Solo dev, SAME BUILDING as Dijital10. Freelancers are Yappaflow's easiest yes — one-person volume uplift is the pitch.</t>
  </si>
  <si>
    <t xml:space="preserve">Deca Yazılım</t>
  </si>
  <si>
    <t xml:space="preserve">Atakent Mah.</t>
  </si>
  <si>
    <t xml:space="preserve">Atakent Mah. 3307. Sk. No:4, 55200 Atakum/Samsun</t>
  </si>
  <si>
    <t xml:space="preserve">+90 545 270 13 46</t>
  </si>
  <si>
    <t xml:space="preserve">info@decayazilim.com</t>
  </si>
  <si>
    <t xml:space="preserve">https://decayazilim.com/</t>
  </si>
  <si>
    <t xml:space="preserve">Twitter: @vamtam</t>
  </si>
  <si>
    <t xml:space="preserve">Yazılım-first shop (software house). Exact 'custom delivery' profile Yappaflow compresses from days → minutes.</t>
  </si>
  <si>
    <t xml:space="preserve">Proweb Tasarım Samsun</t>
  </si>
  <si>
    <t xml:space="preserve">İlkadım</t>
  </si>
  <si>
    <t xml:space="preserve">Kale Mah.</t>
  </si>
  <si>
    <t xml:space="preserve">Kale Mah. Kazımpaşa Cad. Meseret Sok. No:1 Kat:2/23, 55260 İlkadım/Samsun</t>
  </si>
  <si>
    <t xml:space="preserve">+90 545 368 53 69</t>
  </si>
  <si>
    <t xml:space="preserve">destek@prowebtasarim.net</t>
  </si>
  <si>
    <t xml:space="preserve">https://www.prowebtasarim.net/</t>
  </si>
  <si>
    <t xml:space="preserve">FB: prowebtasarim · IG: @prowebajans</t>
  </si>
  <si>
    <t xml:space="preserve">Self-described #1 Samsun web-design firm. Central İlkadım address, easy walk-in from city center.</t>
  </si>
  <si>
    <t xml:space="preserve">CodiaSoft</t>
  </si>
  <si>
    <t xml:space="preserve">Çiftlik Mah.</t>
  </si>
  <si>
    <t xml:space="preserve">Çiftlik Mah. İstiklal Cad. Başoğlu İş Merkezi Varol Apt. No:102/A Kat:3 Daire:2, İlkadım/Samsun</t>
  </si>
  <si>
    <t xml:space="preserve">+90 850 532 01 08</t>
  </si>
  <si>
    <t xml:space="preserve">info@codiasoft.com</t>
  </si>
  <si>
    <t xml:space="preserve">https://www.codiasoft.com/</t>
  </si>
  <si>
    <t xml:space="preserve">IG: @codiasoft · LinkedIn: codiasoft</t>
  </si>
  <si>
    <t xml:space="preserve">Software + web shop, city-center (Çiftlik). LinkedIn-active — Yappaflow's AI-driven generator angle will resonate.</t>
  </si>
  <si>
    <t xml:space="preserve">Webmooy Dijital Reklam</t>
  </si>
  <si>
    <t xml:space="preserve">Yenimahalle</t>
  </si>
  <si>
    <t xml:space="preserve">Yenimahalle, İzmir Cd. Bina No:25 B.B.15, Atakum/Samsun</t>
  </si>
  <si>
    <t xml:space="preserve">+90 850 480 05 15</t>
  </si>
  <si>
    <t xml:space="preserve">info@webmooy.com</t>
  </si>
  <si>
    <t xml:space="preserve">https://webmooy.com/</t>
  </si>
  <si>
    <t xml:space="preserve">IG: @webmooy · LinkedIn: webmooy</t>
  </si>
  <si>
    <t xml:space="preserve">Since 2020 — web + SEO + full-service digital marketing. Atakum address, easy visit.</t>
  </si>
  <si>
    <t xml:space="preserve">İlgiHost / Samweb</t>
  </si>
  <si>
    <t xml:space="preserve">Kale Mah. Gazi Cad. Bafra İşhanı No:52 Kat:2 Daire:6, İlkadım/Samsun</t>
  </si>
  <si>
    <t xml:space="preserve">+90 362 435 03 30</t>
  </si>
  <si>
    <t xml:space="preserve">bilgi@ilgihost.com</t>
  </si>
  <si>
    <t xml:space="preserve">https://samweb.com.tr/</t>
  </si>
  <si>
    <t xml:space="preserve">IG: @ilgihost</t>
  </si>
  <si>
    <t xml:space="preserve">Hosting + web-design combo in city center (Bafra İşhanı). Walk-in friendly. Mention Yappaflow ZIP hand-off as a hosting upsell.</t>
  </si>
  <si>
    <t xml:space="preserve">Fikir Kulübü</t>
  </si>
  <si>
    <t xml:space="preserve">Kılıçdede Mah.</t>
  </si>
  <si>
    <t xml:space="preserve">Kılıçdede Mah. İstiklal Cd. No:181/10, İlkadım/Samsun</t>
  </si>
  <si>
    <t xml:space="preserve">+90 362 233 28 49</t>
  </si>
  <si>
    <t xml:space="preserve">bilgi@fikirkulubu.com.tr</t>
  </si>
  <si>
    <t xml:space="preserve">https://www.fikirkulubu.com.tr/</t>
  </si>
  <si>
    <t xml:space="preserve">IG: @fikir.kulubu · FB: fikirkulup</t>
  </si>
  <si>
    <t xml:space="preserve">Marka + iletişim + baskı + etkinlik ajansı. Partnership angle &gt; client — they sub-contract website work.</t>
  </si>
  <si>
    <t xml:space="preserve">Czia Kurumsal</t>
  </si>
  <si>
    <t xml:space="preserve">Esenler Mah.</t>
  </si>
  <si>
    <t xml:space="preserve">Esenler Mah. 317. Sk. No:2 Kat:3, Atakum/Samsun</t>
  </si>
  <si>
    <t xml:space="preserve">+90 362 230 88 88</t>
  </si>
  <si>
    <t xml:space="preserve">info@czia.com</t>
  </si>
  <si>
    <t xml:space="preserve">https://czia.com/</t>
  </si>
  <si>
    <t xml:space="preserve">FB: CziaCom · X: @cziacom</t>
  </si>
  <si>
    <t xml:space="preserve">Kurumsal hizmet evi (web + grafik + foto/video). Atakum office, easy walk-in from most of Samsun.</t>
  </si>
  <si>
    <t xml:space="preserve">Sitebizden (Samsun Web Tasarımı)</t>
  </si>
  <si>
    <t xml:space="preserve">Kılıçdede Mah. Ülkem Sk. No:8 Borkonut Niş İş Merkezi B Blok D:36, İlkadım/Samsun (2. ofis: OMÜ Teknopark, Atakum)</t>
  </si>
  <si>
    <t xml:space="preserve">IG: @sitebizden · FB: sitebizden</t>
  </si>
  <si>
    <t xml:space="preserve">14 yıllık firma, 600+ aktif müşteri. İki ofis (şehir + Teknopark). Kılıçdede ofisini seç — daha kalabalık.</t>
  </si>
  <si>
    <t xml:space="preserve">Redia Dijital (redia.com.tr)</t>
  </si>
  <si>
    <t xml:space="preserve">Atakum Vatan Cd. 3169. Sk., Yenimahalle tramvay durağı karşısı, Atakum/Samsun</t>
  </si>
  <si>
    <t xml:space="preserve">info@redia.com.tr</t>
  </si>
  <si>
    <t xml:space="preserve">https://redia.com.tr/</t>
  </si>
  <si>
    <t xml:space="preserve">IG: @redia.ajans · LinkedIn: Redia Ajans</t>
  </si>
  <si>
    <t xml:space="preserve">Atakum ofisi, tram stop landmark'ı kolay. 'Yenimahalle tramvay durağı karşısı' ile kolayca bulunur.</t>
  </si>
  <si>
    <t xml:space="preserve">Mevlana Mah.</t>
  </si>
  <si>
    <t xml:space="preserve">Mevlana Mah. Şehit Gökhan Çavuşoğlu Sk., İlkadım/Samsun</t>
  </si>
  <si>
    <t xml:space="preserve">IG: @medyared.samsun · LinkedIn: redia-ajans</t>
  </si>
  <si>
    <t xml:space="preserve">Redia'nın İlkadım ayağı. 2006'dan beri 200+ website müşterisi. Partnership angle — Yappaflow = delivery accelerator.</t>
  </si>
  <si>
    <t xml:space="preserve">Seven's Design</t>
  </si>
  <si>
    <t xml:space="preserve">Derebahçe Mah.</t>
  </si>
  <si>
    <t xml:space="preserve">Derebahçe Mah., İlkadım/Samsun (tam adres telefondan)</t>
  </si>
  <si>
    <t xml:space="preserve">+90 553 719 53 84</t>
  </si>
  <si>
    <t xml:space="preserve">info@sevens-design.com</t>
  </si>
  <si>
    <t xml:space="preserve">https://sevens-design.com/</t>
  </si>
  <si>
    <t xml:space="preserve">IG: @sevens7design</t>
  </si>
  <si>
    <t xml:space="preserve">Web + grafik tasarım. Sokak/no web'de yok — önce arayıp tam adres al.</t>
  </si>
  <si>
    <t xml:space="preserve">Annak Studio</t>
  </si>
  <si>
    <t xml:space="preserve">Samsun (şehir içi)</t>
  </si>
  <si>
    <t xml:space="preserve">Samsun ofisi (spesifik adres gizli — Atakum semti; 2. ofis: Washington, USA)</t>
  </si>
  <si>
    <t xml:space="preserve">hi@studioannak.com</t>
  </si>
  <si>
    <t xml:space="preserve">https://studioannak.com/</t>
  </si>
  <si>
    <t xml:space="preserve">UI/UX-forward stüdyo, US ofisi de var. Email-first: randevu iste, sonra Atakum ofisine git.</t>
  </si>
  <si>
    <t xml:space="preserve">bw/a (Better With Agency)</t>
  </si>
  <si>
    <t xml:space="preserve">—</t>
  </si>
  <si>
    <t xml:space="preserve">Samsun (contact form only — adres web'de yok)</t>
  </si>
  <si>
    <t xml:space="preserve">Zaten ana Leads listesinde var. Modern Samsun ajansı — form üzerinden walk-in talebi gönder.</t>
  </si>
  <si>
    <t xml:space="preserve">Hepar Web Tasarım</t>
  </si>
  <si>
    <t xml:space="preserve">Samsun genel</t>
  </si>
  <si>
    <t xml:space="preserve">Samsun merkezli (Atakum/İlkadım/Canik/Terme/Havza hizmet bölgesi). Adres yok — telefon/WhatsApp.</t>
  </si>
  <si>
    <t xml:space="preserve">+90 545 500 01 51</t>
  </si>
  <si>
    <t xml:space="preserve">https://hepar.org.tr/</t>
  </si>
  <si>
    <t xml:space="preserve">15-yıllık. Spesifik ofis yok gibi — önce WhatsApp'tan randevu iste.</t>
  </si>
  <si>
    <t xml:space="preserve">İnnova Reklam Web Tasarım</t>
  </si>
  <si>
    <t xml:space="preserve">Samsun (tam adres web'de yok). Ticaret sicil no: 14040.</t>
  </si>
  <si>
    <t xml:space="preserve">+90 532 683 13 43</t>
  </si>
  <si>
    <t xml:space="preserve">https://www.innovaajans.com.tr/</t>
  </si>
  <si>
    <t xml:space="preserve">12+ yıl. Sadece telefon + sicil no. Önce ara, adresi tam al, sonra git.</t>
  </si>
  <si>
    <t xml:space="preserve">Samsun (spesifik sokak/kat web sitesinde yok)</t>
  </si>
  <si>
    <t xml:space="preserve">http://dijitasyon.com.tr/</t>
  </si>
  <si>
    <t xml:space="preserve">IG: @dijitasyoncomtr</t>
  </si>
  <si>
    <t xml:space="preserve">Web + dijital pazarlama. Adres gizli — telefon/email ilk temas, sonra ziyaret.</t>
  </si>
  <si>
    <t xml:space="preserve">Onsa Ajans</t>
  </si>
  <si>
    <t xml:space="preserve">Samsun (4-kişilik ekip, adres gizli)</t>
  </si>
  <si>
    <t xml:space="preserve">https://www.onsaajans.com/</t>
  </si>
  <si>
    <t xml:space="preserve">IG: @onsaajans</t>
  </si>
  <si>
    <t xml:space="preserve">2017'den beri — önce İstanbul, şimdi Samsun ekibi. Instagram DM veya site formu ilk temas.</t>
  </si>
  <si>
    <t xml:space="preserve">Webbeyaz</t>
  </si>
  <si>
    <t xml:space="preserve">Kılıçdede Mah. Ülkem Sk. No:8 Borkonut Niş Plaza B Blok Kat:4 D:37, İlkadım/Samsun</t>
  </si>
  <si>
    <t xml:space="preserve">+90 545 832 39 29</t>
  </si>
  <si>
    <t xml:space="preserve">info@webbeyaz.com</t>
  </si>
  <si>
    <t xml:space="preserve">https://www.webbeyaz.com/</t>
  </si>
  <si>
    <t xml:space="preserve">IG: @webbeyaz · LinkedIn: webbeyaz</t>
  </si>
  <si>
    <t xml:space="preserve">10+ yıllık. AYNI BİNA Sitebizden ile (Borkonut Niş Plaza B Blok — Webbeyaz D:37, Sitebizden D:36). Tek ziyaret iki pitch!</t>
  </si>
  <si>
    <t xml:space="preserve">Tasarım Dünyası</t>
  </si>
  <si>
    <t xml:space="preserve">Zafer Mah.</t>
  </si>
  <si>
    <t xml:space="preserve">Zafer Mah. Divitçioğlu Cad. No:34, İlkadım/Samsun</t>
  </si>
  <si>
    <t xml:space="preserve">+90 362 230 76 91</t>
  </si>
  <si>
    <t xml:space="preserve">info@tasarimdunyasi.com</t>
  </si>
  <si>
    <t xml:space="preserve">https://tasarimdunyasi.com/</t>
  </si>
  <si>
    <t xml:space="preserve">Twitter / Facebook / Vimeo</t>
  </si>
  <si>
    <t xml:space="preserve">20+ yıllık hosting + tasarım firması. Zafer Mah şehir merkezi — kolay walk-in.</t>
  </si>
  <si>
    <t xml:space="preserve">362 Tasarım ve Yazılım Ajansı</t>
  </si>
  <si>
    <t xml:space="preserve">Zafer Mah. Cumhuriyet Cd. Devecioğlu İş Merkezi Kat:6 No:23/102, İlkadım/Samsun</t>
  </si>
  <si>
    <t xml:space="preserve">info@362.com.tr</t>
  </si>
  <si>
    <t xml:space="preserve">https://www.362.com.tr/</t>
  </si>
  <si>
    <t xml:space="preserve">IG/FB/X: @362digital</t>
  </si>
  <si>
    <t xml:space="preserve">14 yıllık — grafik + mobil uygulama + web yazılım. Belediye + kurumsal portföy. Zafer Mah merkez.</t>
  </si>
  <si>
    <t xml:space="preserve">Adsmethod Dijital Reklam</t>
  </si>
  <si>
    <t xml:space="preserve">Adalet Mah.</t>
  </si>
  <si>
    <t xml:space="preserve">Adalet Mah. Şehit Polis Memuru Murat Çalışkan Sk. No:1/3, İlkadım/Samsun</t>
  </si>
  <si>
    <t xml:space="preserve">+90 536 577 91 01</t>
  </si>
  <si>
    <t xml:space="preserve">info@adsmethod.com</t>
  </si>
  <si>
    <t xml:space="preserve">https://adsmethod.com/</t>
  </si>
  <si>
    <t xml:space="preserve">2024 kuruluşu — genç/büyüme odaklı. Web + grafik tasarım. Yeni ajanslar yeni araçlara daha açık.</t>
  </si>
  <si>
    <t xml:space="preserve">Kayrasoft Yazılım</t>
  </si>
  <si>
    <t xml:space="preserve">Zafer Mah. Gazi Cad. Gazi Apt. Kat:1 No:150/1, İlkadım/Samsun</t>
  </si>
  <si>
    <t xml:space="preserve">+90 362 233 80 33</t>
  </si>
  <si>
    <t xml:space="preserve">info@kayrasoft.com.tr</t>
  </si>
  <si>
    <t xml:space="preserve">https://kayrasoft.com.tr/</t>
  </si>
  <si>
    <t xml:space="preserve">2010'dan beri (kurucu: Ahmet Koç). Kurumsal yazılım + web. Zafer Mah merkez — CodiaSoft ve Tasarım Dünyası ile aynı bölge, tek güzergâh üç pitch.</t>
  </si>
  <si>
    <t xml:space="preserve">Web Çizgisi</t>
  </si>
  <si>
    <t xml:space="preserve">Canik</t>
  </si>
  <si>
    <t xml:space="preserve">Karşıyaka Mah.</t>
  </si>
  <si>
    <t xml:space="preserve">Karşıyaka Mah. Akıncılar Sk. No:24, Canik/Samsun</t>
  </si>
  <si>
    <t xml:space="preserve">+90 544 571 15 47</t>
  </si>
  <si>
    <t xml:space="preserve">Yandex Maps doğrulamalı</t>
  </si>
  <si>
    <t xml:space="preserve">Canik yerel web tasarım dükkanı. Küçük + kişisel — Yappaflow'un 'bir kişi stüdyo hacmi' pitch'i tam onlara göre.</t>
  </si>
  <si>
    <t xml:space="preserve">Vayes Digital</t>
  </si>
  <si>
    <t xml:space="preserve">OMÜ Teknopark</t>
  </si>
  <si>
    <t xml:space="preserve">OMÜ Cad. No:165, OMÜ Teknopark Geliştirme Bölgesi, Atakum/Samsun</t>
  </si>
  <si>
    <t xml:space="preserve">https://www.vayes.com.tr/</t>
  </si>
  <si>
    <t xml:space="preserve">Teknopark-resident yazılım + tasarım firması. Enterprise/ihracat odaklı — partnership angle (Yappaflow teslimat hızlandırıcı).</t>
  </si>
  <si>
    <t xml:space="preserve">Tekşen Bilişim</t>
  </si>
  <si>
    <t xml:space="preserve">OMÜ Teknopark, Atakum/Samsun</t>
  </si>
  <si>
    <t xml:space="preserve">https://teksenbilisim.com/</t>
  </si>
  <si>
    <t xml:space="preserve">Teknopark bilişim firması — yazılım ihracatı odaklı. Sitebizden Teknopark ofisi de aynı çevre.</t>
  </si>
  <si>
    <t xml:space="preserve">KODAKIL Web &amp; Yazılım</t>
  </si>
  <si>
    <t xml:space="preserve">Körfez Mah.</t>
  </si>
  <si>
    <t xml:space="preserve">Körfez Mah., Atakum/Samsun (sokak/kat gizli — telefon/email ile doğrulama)</t>
  </si>
  <si>
    <t xml:space="preserve">Bumaps Samsun listelemesi</t>
  </si>
  <si>
    <t xml:space="preserve">Bumaps'te listelenmiş küçük web/yazılım şirketi. Önce telefon al, sonra adres kesinleştir.</t>
  </si>
  <si>
    <t xml:space="preserve">Dokuz Adworks</t>
  </si>
  <si>
    <t xml:space="preserve">Samsun (site iletişim formu ile — fiziksel adres web'de yok)</t>
  </si>
  <si>
    <t xml:space="preserve">https://dokuzadworks.com/</t>
  </si>
  <si>
    <t xml:space="preserve">Marka + kurumsal kimlik + reklam ajansı; full-service, web dahil. Form üzerinden randevu.</t>
  </si>
  <si>
    <t xml:space="preserve">Must Creative</t>
  </si>
  <si>
    <t xml:space="preserve">Canik/Bafra</t>
  </si>
  <si>
    <t xml:space="preserve">Samsun (Canik/Bafra hizmet bölgesi — ofis adresi belirsiz)</t>
  </si>
  <si>
    <t xml:space="preserve">+90 541 896 70 89</t>
  </si>
  <si>
    <t xml:space="preserve">https://mustcreative.com/</t>
  </si>
  <si>
    <t xml:space="preserve">Canik + Bafra odaklı — telefon-only iletişim. Bafra'ya gitmek için Samsun dışı yolculuk (~70 km).</t>
  </si>
  <si>
    <t xml:space="preserve">Can Turan (canturan.dev)</t>
  </si>
  <si>
    <t xml:space="preserve">Freelance — fiziksel ofis yok, görüşme talep üzerine</t>
  </si>
  <si>
    <t xml:space="preserve">https://www.canturan.dev/</t>
  </si>
  <si>
    <t xml:space="preserve">15+ yıllık web tasarımcı, 500+ proje. SEO-uyumlu modern siteler — Yappaflow'un 'solo → stüdyo hacmi' pitch'i birebir fit.</t>
  </si>
  <si>
    <t xml:space="preserve">Furkan Sağlam (Mono Interactive)</t>
  </si>
  <si>
    <t xml:space="preserve">Atakum/Samsun — freelance + Mono Interactive kurucusu (hibrit)</t>
  </si>
  <si>
    <t xml:space="preserve">https://www.furkansaglam.com/</t>
  </si>
  <si>
    <t xml:space="preserve">Upwork + YouTube + furkansaglam.com</t>
  </si>
  <si>
    <t xml:space="preserve">Front-end + UI/UX + SEO uzmanı. Kendi ajansını kurmuş — partnership angle (Yappaflow = teslimat hızlandırıcı).</t>
  </si>
  <si>
    <t xml:space="preserve">Ayhan Karaman</t>
  </si>
  <si>
    <t xml:space="preserve">Samsun — freelance/remote (görüşme üzerine kafe buluşması)</t>
  </si>
  <si>
    <t xml:space="preserve">https://www.behance.net/yhnkaraman</t>
  </si>
  <si>
    <t xml:space="preserve">LinkedIn: ayhankaraman · Behance: yhnkaraman</t>
  </si>
  <si>
    <t xml:space="preserve">10+ yıl IT + web + SEO + Digital Marketing Manager geçmişi. LinkedIn DM önce, sonra Samsun kafe buluşması.</t>
  </si>
  <si>
    <t xml:space="preserve">Yasin Kökdemir</t>
  </si>
  <si>
    <t xml:space="preserve">Atakum/Samsun (Atakum Belediyesi bünyesinde frontend dev — yan projede freelance)</t>
  </si>
  <si>
    <t xml:space="preserve">Frontend dev — Wegobi Studio, Workintech, ATF Studios geçmişi. LinkedIn-first; mesai dışı freelance ilgi alanı.</t>
  </si>
  <si>
    <t xml:space="preserve">Alican Şahvelioğlu</t>
  </si>
  <si>
    <t xml:space="preserve">Rasathane</t>
  </si>
  <si>
    <t xml:space="preserve">Atakum/Rasathane (Atakum Belediyesi bünyesinde — Behance üzerinden iletişim)</t>
  </si>
  <si>
    <t xml:space="preserve">https://www.behance.net/shvloglu</t>
  </si>
  <si>
    <t xml:space="preserve">Behance: shvloglu · LinkedIn</t>
  </si>
  <si>
    <t xml:space="preserve">UI/UX + front-end + grafik tasarım. Belediyede tam zamanlı ama freelance work gösteriyor.</t>
  </si>
  <si>
    <t xml:space="preserve">Mehmet Online</t>
  </si>
  <si>
    <t xml:space="preserve">Samsun — freelance (fiziksel adres yok, Dribbble DM)</t>
  </si>
  <si>
    <t xml:space="preserve">https://dribbble.com/mehmetonline</t>
  </si>
  <si>
    <t xml:space="preserve">Dribbble: mehmetonline</t>
  </si>
  <si>
    <t xml:space="preserve">Web + mobile design. Dribbble aktif — genç portföy.</t>
  </si>
  <si>
    <t xml:space="preserve">Metehan Bahadır</t>
  </si>
  <si>
    <t xml:space="preserve">Samsun — freelance (Behance/LinkedIn DM)</t>
  </si>
  <si>
    <t xml:space="preserve">https://www.behance.net/metehanbahadir</t>
  </si>
  <si>
    <t xml:space="preserve">Behance + LinkedIn</t>
  </si>
  <si>
    <t xml:space="preserve">20 yıl brand/logo/visual design. Saf web odaklı değil — tasarım ortağı olarak cross-sell.</t>
  </si>
  <si>
    <t xml:space="preserve">Tuğçe Deniz</t>
  </si>
  <si>
    <t xml:space="preserve">Samsun — freelance (OMÜ 2024 mezun)</t>
  </si>
  <si>
    <t xml:space="preserve">https://www.behance.net/ttugcednz</t>
  </si>
  <si>
    <t xml:space="preserve">Behance · IG: @tugcedenizz · LinkedIn</t>
  </si>
  <si>
    <t xml:space="preserve">Yeni mezun — early-career grafik tasarımcı. Uzun vadeli early-adopter olabilir.</t>
  </si>
  <si>
    <t xml:space="preserve">Samsun leads total</t>
  </si>
  <si>
    <t xml:space="preserve">High visit-priority</t>
  </si>
  <si>
    <t xml:space="preserve">Atakum-based</t>
  </si>
  <si>
    <t xml:space="preserve">İlkadım-based</t>
  </si>
  <si>
    <t xml:space="preserve">İzmir — in-person visit list (küçük/orta web ajansları + freelancer'lar)</t>
  </si>
  <si>
    <t xml:space="preserve">Address-first list of İzmir web/digital agencies + freelancers. Cluster hot-spots: Folkart Towers (Bayraklı/Adalet Mah.), Mansuroğlu (Bayraklı), Alsancak/Konak, Karşıyaka. Before travelling, call the 'telefondan doğrulanmalı' entries to confirm kat/daire. Priority-High = clear SMB fit + verified address.</t>
  </si>
  <si>
    <t xml:space="preserve">Bayraklı</t>
  </si>
  <si>
    <t xml:space="preserve">Adalet Mh. Manas Blv. No:48 Folkart Towers, 35530 Bayraklı/İzmir</t>
  </si>
  <si>
    <t xml:space="preserve">LinkedIn: mudiweb</t>
  </si>
  <si>
    <t xml:space="preserve">Folkart Towers CLUSTER — 6 ajans aynı binada (Mudiweb, OVARSA, Best4SEO, WebUsta, Çınar, Roof). Bayraklı metro çıkışı; tek ziyaret çoklu pitch.</t>
  </si>
  <si>
    <t xml:space="preserve">Adalet Mh. Manas Blv. No:39 Folkart Towers B Kule K:32 D:3201, Bayraklı/İzmir</t>
  </si>
  <si>
    <t xml:space="preserve">info@ovarsa.com</t>
  </si>
  <si>
    <t xml:space="preserve">LinkedIn: ovarsa-yazılım-teknolojileri</t>
  </si>
  <si>
    <t xml:space="preserve">Aynı bina Mudiweb/Best4SEO/WebUsta ile — Folkart B Kule 32. kat. İzmir + Manisa ofis. LinkedIn DM sonra walk-in.</t>
  </si>
  <si>
    <t xml:space="preserve">Best4SEO</t>
  </si>
  <si>
    <t xml:space="preserve">Adalet Mh. Manas Blv. Folkart Towers B Blok D:3010, 35530 Bayraklı/İzmir</t>
  </si>
  <si>
    <t xml:space="preserve">+90 530 776 74 30</t>
  </si>
  <si>
    <t xml:space="preserve">info@best4seo.com</t>
  </si>
  <si>
    <t xml:space="preserve">https://best4seo.com.tr/</t>
  </si>
  <si>
    <t xml:space="preserve">LinkedIn: best4seo</t>
  </si>
  <si>
    <t xml:space="preserve">Çok dilli SEO + web tasarım. Folkart B Blok. Cluster içinde 3. durak.</t>
  </si>
  <si>
    <t xml:space="preserve">WebUsta</t>
  </si>
  <si>
    <t xml:space="preserve">Adalet Mh. Manas Blv. No:47 Folkart Towers D:2896, 35530 Bayraklı/İzmir</t>
  </si>
  <si>
    <t xml:space="preserve">https://webusta.com.tr/</t>
  </si>
  <si>
    <t xml:space="preserve">Folkart binasında web tasarım + destek + siber güvenlik. Telefon web'de yok — form ile randevu.</t>
  </si>
  <si>
    <t xml:space="preserve">Çınar Ajans</t>
  </si>
  <si>
    <t xml:space="preserve">Folkart Towers A Kule K:28 Ofis:2802, Bayraklı/İzmir (kat/daire telefondan doğrulanmalı)</t>
  </si>
  <si>
    <t xml:space="preserve">https://cinarajans.com.tr/</t>
  </si>
  <si>
    <t xml:space="preserve">Folkart A Kule — dijital/medya/iletişim ajansı. Kat/daire doğrulanmalı.</t>
  </si>
  <si>
    <t xml:space="preserve">Roof Digital</t>
  </si>
  <si>
    <t xml:space="preserve">Folkart Towers A Kule K:26 Ofis:2601, Bayraklı/İzmir (kat/daire telefondan doğrulanmalı)</t>
  </si>
  <si>
    <t xml:space="preserve">+90 850 303 06 99</t>
  </si>
  <si>
    <t xml:space="preserve">https://roofdigital.com/</t>
  </si>
  <si>
    <t xml:space="preserve">LinkedIn: roof-digital</t>
  </si>
  <si>
    <t xml:space="preserve">Google/Meta Ads + web tasarım. Folkart A Kule cluster'ı.</t>
  </si>
  <si>
    <t xml:space="preserve">MEK Ajans</t>
  </si>
  <si>
    <t xml:space="preserve">Mansuroğlu Mah.</t>
  </si>
  <si>
    <t xml:space="preserve">Mansuroğlu Mh. Ankara Cd. No:81 Bayraklı Tower K:9 Ofis:55, Bayraklı/İzmir</t>
  </si>
  <si>
    <t xml:space="preserve">+90 232 344 91 09</t>
  </si>
  <si>
    <t xml:space="preserve">https://mekajans.com/</t>
  </si>
  <si>
    <t xml:space="preserve">LinkedIn: mek-ajans</t>
  </si>
  <si>
    <t xml:space="preserve">Bayraklı Tower — Folkart'ın yanında 2. yüksek bina. Kurumsal site + e-ticaret + Google Ads.</t>
  </si>
  <si>
    <t xml:space="preserve">Mansuroğlu Mh. 288/4. Sk. No:10 K:5 D:30, Bayraklı/İzmir</t>
  </si>
  <si>
    <t xml:space="preserve">LinkedIn: projicomtr</t>
  </si>
  <si>
    <t xml:space="preserve">Çift-şehir (İzmir + İstanbul Sarıyer) ajansı — 2015'ten beri. LinkedIn-aktif.</t>
  </si>
  <si>
    <t xml:space="preserve">Veritas Dijital</t>
  </si>
  <si>
    <t xml:space="preserve">Konak</t>
  </si>
  <si>
    <t xml:space="preserve">Halkapınar Mah.</t>
  </si>
  <si>
    <t xml:space="preserve">Halkapınar Mh. 1348 Sk. Keremoğlu İş Merkezi No:2 B Blok K:3 D:301-302, Konak/İzmir</t>
  </si>
  <si>
    <t xml:space="preserve">+90 850 259 35 67</t>
  </si>
  <si>
    <t xml:space="preserve">info@veritasdijital.com</t>
  </si>
  <si>
    <t xml:space="preserve">https://veritasdijital.com/</t>
  </si>
  <si>
    <t xml:space="preserve">LinkedIn: veritas-dijital</t>
  </si>
  <si>
    <t xml:space="preserve">360° dijital pazarlama — 4 ofis (İzmir + İstanbul + Kocaeli + Londra). Halkapınar metro yakını.</t>
  </si>
  <si>
    <t xml:space="preserve">FikirMedya</t>
  </si>
  <si>
    <t xml:space="preserve">Adalet Mh. 1600 Sk. No:3A, Bayraklı/İzmir</t>
  </si>
  <si>
    <t xml:space="preserve">info@fikirmedya.com.tr</t>
  </si>
  <si>
    <t xml:space="preserve">https://fikirmedya.com.tr/</t>
  </si>
  <si>
    <t xml:space="preserve">LinkedIn: fikirmedya</t>
  </si>
  <si>
    <t xml:space="preserve">2004'ten beri reklam + kreatif ajansı. Adalet Mah — Folkart bölgesi ile aynı semt.</t>
  </si>
  <si>
    <t xml:space="preserve">Dijital Arı</t>
  </si>
  <si>
    <t xml:space="preserve">Bayraklı/İzmir (tam adres telefondan doğrulanmalı)</t>
  </si>
  <si>
    <t xml:space="preserve">LinkedIn: dijital-ari</t>
  </si>
  <si>
    <t xml:space="preserve">Web + yazılım + sosyal medya + prodüksiyon. Adres doğrulanmadan gitme.</t>
  </si>
  <si>
    <t xml:space="preserve">Atölye15</t>
  </si>
  <si>
    <t xml:space="preserve">Akdeniz Mah.</t>
  </si>
  <si>
    <t xml:space="preserve">Akdeniz Mh. Cumhuriyet Blv. No:120, 35210 Konak/İzmir</t>
  </si>
  <si>
    <t xml:space="preserve">+90 232 464 04 15</t>
  </si>
  <si>
    <t xml:space="preserve">hello@atolye15.com</t>
  </si>
  <si>
    <t xml:space="preserve">https://atolye15.com/</t>
  </si>
  <si>
    <t xml:space="preserve">LinkedIn: atolye15</t>
  </si>
  <si>
    <t xml:space="preserve">Full-service ürün geliştirme — web + mobil + UI/UX. Cumhuriyet Bulvarı merkezi, Alsancak'a yürüme mesafesi.</t>
  </si>
  <si>
    <t xml:space="preserve">Akdeniz Mh. Şht. Fethi Bey Cd. Yüncüler İş Hanı No:77 D:11, Konak/İzmir 35210 (alt adres: 1347 Sk. No:8 Anba İş Hanı K:1 D:107, Pasaport-Alsancak)</t>
  </si>
  <si>
    <t xml:space="preserve">LinkedIn: 1007medya</t>
  </si>
  <si>
    <t xml:space="preserve">10+ yıl SMB web — Pasaport/Konak ofisi. Adres iki kaynakta farklı — önce telefon onayı.</t>
  </si>
  <si>
    <t xml:space="preserve">Calisto Ajans</t>
  </si>
  <si>
    <t xml:space="preserve">Alsancak Mah.</t>
  </si>
  <si>
    <t xml:space="preserve">Kıbrıs Şehitleri Cd., Alsancak, 35220 Konak/İzmir (kat/daire telefondan)</t>
  </si>
  <si>
    <t xml:space="preserve">+90 232 421 01 70</t>
  </si>
  <si>
    <t xml:space="preserve">https://calistoajans.com.tr/</t>
  </si>
  <si>
    <t xml:space="preserve">LinkedIn: calisto-ajans</t>
  </si>
  <si>
    <t xml:space="preserve">2015'ten beri kurumsal web + e-ticaret + kurumsal kimlik. Alsancak ana cadde.</t>
  </si>
  <si>
    <t xml:space="preserve">Ervsoft</t>
  </si>
  <si>
    <t xml:space="preserve">Kemeraltı</t>
  </si>
  <si>
    <t xml:space="preserve">Mucibur Rahman Cd. Salihağa İş Hanı No:3 Ofis:517, Kemeraltı Çarşısı, 35250 Konak/İzmir</t>
  </si>
  <si>
    <t xml:space="preserve">+90 232 332 15 05</t>
  </si>
  <si>
    <t xml:space="preserve">info@ervsoft.com</t>
  </si>
  <si>
    <t xml:space="preserve">https://ervsoft.com/</t>
  </si>
  <si>
    <t xml:space="preserve">LinkedIn: ervsoft</t>
  </si>
  <si>
    <t xml:space="preserve">Web + mobil + yazılım — 2012'den beri. Kemeraltı tarihî çarşı — walk-in mesai saatinde.</t>
  </si>
  <si>
    <t xml:space="preserve">İnteso Yazılım</t>
  </si>
  <si>
    <t xml:space="preserve">Çınarlı Mah.</t>
  </si>
  <si>
    <t xml:space="preserve">Çınarlı Mh. 1572/1. Sk. No:33, Konak/İzmir</t>
  </si>
  <si>
    <t xml:space="preserve">+90 232 469 37 60</t>
  </si>
  <si>
    <t xml:space="preserve">info@intesoyazilim.com</t>
  </si>
  <si>
    <t xml:space="preserve">https://intesoyazilim.com/</t>
  </si>
  <si>
    <t xml:space="preserve">LinkedIn: inteso-yazilim</t>
  </si>
  <si>
    <t xml:space="preserve">2009'dan beri lider web ajansı. Çınarlı ofis — Mansuroğlu'na yakın.</t>
  </si>
  <si>
    <t xml:space="preserve">Vevona</t>
  </si>
  <si>
    <t xml:space="preserve">Önder</t>
  </si>
  <si>
    <t xml:space="preserve">1583/3 Sk. No:3 K:2 Büro:131, Önder, 35410 Konak/İzmir</t>
  </si>
  <si>
    <t xml:space="preserve">+90 506 843 94 96</t>
  </si>
  <si>
    <t xml:space="preserve">info@vevona.com</t>
  </si>
  <si>
    <t xml:space="preserve">https://vevona.com/</t>
  </si>
  <si>
    <t xml:space="preserve">LinkedIn: vevona</t>
  </si>
  <si>
    <t xml:space="preserve">Google/Facebook Ads + sosyal medya + özel yazılım + mobil. Önder semt — Karabağlar'a yakın.</t>
  </si>
  <si>
    <t xml:space="preserve">Mimar Sinan Mah.</t>
  </si>
  <si>
    <t xml:space="preserve">Mimar Sinan Mh. Ali Çetinkaya Blv. No:50 D:7 Demet Apartmanı, Alsancak-Konak/İzmir</t>
  </si>
  <si>
    <t xml:space="preserve">info@localveri.com.tr</t>
  </si>
  <si>
    <t xml:space="preserve">LinkedIn: localveri</t>
  </si>
  <si>
    <t xml:space="preserve">22 yıl, 850+ müşteri, 4000+ proje. Alsancak ana omurga.</t>
  </si>
  <si>
    <t xml:space="preserve">Ege Bilişim Teknolojileri</t>
  </si>
  <si>
    <t xml:space="preserve">Alsancak Mh. Kıbrıs Şehitleri Cd. 1479. Sk. No:11/5, 35220 Konak/İzmir</t>
  </si>
  <si>
    <t xml:space="preserve">+90 232 445 66 15</t>
  </si>
  <si>
    <t xml:space="preserve">https://egebt.com/</t>
  </si>
  <si>
    <t xml:space="preserve">LinkedIn: ege-bilişim-teknolojileri</t>
  </si>
  <si>
    <t xml:space="preserve">2004'ten beri BT + yazılım + ERP + e-ticaret. Alsancak merkez.</t>
  </si>
  <si>
    <t xml:space="preserve">Family Ajans</t>
  </si>
  <si>
    <t xml:space="preserve">Alsancak Mh. Kıbrıs Şehitleri Cd. 1443. Sk. No:185, Konak/İzmir</t>
  </si>
  <si>
    <t xml:space="preserve">https://familyajans.com/</t>
  </si>
  <si>
    <t xml:space="preserve">Kurumsal tasarım ajansı — Alsancak 1443. Sk. Calisto ile aynı telefon gözüküyor: ikisini aynı gün görmek mantıklı.</t>
  </si>
  <si>
    <t xml:space="preserve">Brainworks</t>
  </si>
  <si>
    <t xml:space="preserve">Akdeniz Mh. 1338 Sk. Business Centre No:2/8 K:2 D:22, 35220 Konak/İzmir</t>
  </si>
  <si>
    <t xml:space="preserve">+90 232 445 04 25</t>
  </si>
  <si>
    <t xml:space="preserve">https://brainworks.global/</t>
  </si>
  <si>
    <t xml:space="preserve">LinkedIn: brainworksglb</t>
  </si>
  <si>
    <t xml:space="preserve">360° dijital reklam + yazılım. Akdeniz Mah. — Atölye15 ile aynı semt.</t>
  </si>
  <si>
    <t xml:space="preserve">İnteraktif Medya Ajansı</t>
  </si>
  <si>
    <t xml:space="preserve">Mansuroğlu Mh. İnce Memed Plaza 1593/1 Sk. No:32 K:6 D:32, Konak/İzmir</t>
  </si>
  <si>
    <t xml:space="preserve">https://interaktifmedyaajansi.com/</t>
  </si>
  <si>
    <t xml:space="preserve">Ödüllü Google Ads ajansı — 2010'dan beri. Brainworks ile aynı telefon — aynı grup olabilir, tek ziyaret iki kart.</t>
  </si>
  <si>
    <t xml:space="preserve">Mantar Medya</t>
  </si>
  <si>
    <t xml:space="preserve">Çınarlı Mh. 1563 Sk. No:2 K:6 D:610 İnci Tower, Konak/İzmir</t>
  </si>
  <si>
    <t xml:space="preserve">https://mantarmedya.com/</t>
  </si>
  <si>
    <t xml:space="preserve">IG: @mantarmedya</t>
  </si>
  <si>
    <t xml:space="preserve">Sosyal medya + video prodüksiyon + web tasarım + influencer. İnci Tower — Mansuroğlu'nun başka binası.</t>
  </si>
  <si>
    <t xml:space="preserve">İsmet Kaptan Mah.</t>
  </si>
  <si>
    <t xml:space="preserve">İsmet Kaptan Mh. Hürriyet Bul. No:5 D:401 Tezol İş Merkezi, Konak/İzmir</t>
  </si>
  <si>
    <t xml:space="preserve">LinkedIn: office701</t>
  </si>
  <si>
    <t xml:space="preserve">10+ yıl, 587 proje. Hürriyet Bulvarı merkez — Konak metro yakını.</t>
  </si>
  <si>
    <t xml:space="preserve">İzmir Reklam Ajansı</t>
  </si>
  <si>
    <t xml:space="preserve">Atilla Mah.</t>
  </si>
  <si>
    <t xml:space="preserve">Atilla Mh., 35270 Konak/İzmir (sokak/no telefondan)</t>
  </si>
  <si>
    <t xml:space="preserve">+90 536 608 55 57</t>
  </si>
  <si>
    <t xml:space="preserve">https://izmirreklamajans.com/</t>
  </si>
  <si>
    <t xml:space="preserve">Sosyal medya + web + SEO. Atilla Mah — Konak'ın güneyi. Önce telefon.</t>
  </si>
  <si>
    <t xml:space="preserve">Egegen</t>
  </si>
  <si>
    <t xml:space="preserve">Alsancak/Konak-İzmir (tam adres telefondan doğrulanmalı)</t>
  </si>
  <si>
    <t xml:space="preserve">https://egegen.com/</t>
  </si>
  <si>
    <t xml:space="preserve">LinkedIn: egegen</t>
  </si>
  <si>
    <t xml:space="preserve">2000'den beri ödüllü 360° entegre iletişim ajansı. İzmir veteran — anchor account.</t>
  </si>
  <si>
    <t xml:space="preserve">Astro Dijital</t>
  </si>
  <si>
    <t xml:space="preserve">Konak/İzmir (tam adres telefondan doğrulanmalı)</t>
  </si>
  <si>
    <t xml:space="preserve">https://astrodijital.com/</t>
  </si>
  <si>
    <t xml:space="preserve">LinkedIn: astrodijital</t>
  </si>
  <si>
    <t xml:space="preserve">2019 kuruluşu — ürün geliştirme + web + mobil + SEO. Genç ajans — yeni araca açık.</t>
  </si>
  <si>
    <t xml:space="preserve">W-2GO Creative</t>
  </si>
  <si>
    <t xml:space="preserve">info@w-2go.com</t>
  </si>
  <si>
    <t xml:space="preserve">https://w-2go.com/</t>
  </si>
  <si>
    <t xml:space="preserve">LinkedIn: w-2go-creative</t>
  </si>
  <si>
    <t xml:space="preserve">Grafik + web + sosyal medya + özel yazılım — 2010'dan beri.</t>
  </si>
  <si>
    <t xml:space="preserve">Creatag Medya</t>
  </si>
  <si>
    <t xml:space="preserve">info@creatag.com.tr</t>
  </si>
  <si>
    <t xml:space="preserve">https://creatag.com.tr/</t>
  </si>
  <si>
    <t xml:space="preserve">LinkedIn: creatag-medya</t>
  </si>
  <si>
    <t xml:space="preserve">Dijital branding + sosyal medya + web + foto/video prodüksiyon.</t>
  </si>
  <si>
    <t xml:space="preserve">Venüs Ajans</t>
  </si>
  <si>
    <t xml:space="preserve">Konak/İzmir (tam adres telefondan)</t>
  </si>
  <si>
    <t xml:space="preserve">info@venusajans.com</t>
  </si>
  <si>
    <t xml:space="preserve">https://venusajans.com/</t>
  </si>
  <si>
    <t xml:space="preserve">LinkedIn: venus-ajans</t>
  </si>
  <si>
    <t xml:space="preserve">Dijital reklam + sosyal medya + web + SEO.</t>
  </si>
  <si>
    <t xml:space="preserve">Aren Digital</t>
  </si>
  <si>
    <t xml:space="preserve">https://arendigital.net/</t>
  </si>
  <si>
    <t xml:space="preserve">LinkedIn: aren-digital</t>
  </si>
  <si>
    <t xml:space="preserve">Web tasarım odaklı. Website bilgisi az — önce telefon.</t>
  </si>
  <si>
    <t xml:space="preserve">Karşıyaka</t>
  </si>
  <si>
    <t xml:space="preserve">Park Yaşam Ticaret Merkezi</t>
  </si>
  <si>
    <t xml:space="preserve">6523 Sk. No:32/CB Park Yaşam Ticaret Merkezi AVM Girişi, Karşıyaka/İzmir</t>
  </si>
  <si>
    <t xml:space="preserve">LinkedIn: digital-karinca</t>
  </si>
  <si>
    <t xml:space="preserve">11+ yıl kurumsal web + özel yazılım + mobil. Park Yaşam AVM — transit friendly.</t>
  </si>
  <si>
    <t xml:space="preserve">Ordu Bulvarı No:63/B, Karşıyaka/İzmir (kat/daire belirsiz)</t>
  </si>
  <si>
    <t xml:space="preserve">LinkedIn: imgesel-tasarim</t>
  </si>
  <si>
    <t xml:space="preserve">Marka ajansı — 12 yıl. Ordu Blv. ana cadde; dükkân tipi ofis.</t>
  </si>
  <si>
    <t xml:space="preserve">Sibersonik Web Tasarım</t>
  </si>
  <si>
    <t xml:space="preserve">Karşıyaka/İzmir (tam sokak/no telefondan)</t>
  </si>
  <si>
    <t xml:space="preserve">+90 232 366 99 44</t>
  </si>
  <si>
    <t xml:space="preserve">https://sibersonik.com/</t>
  </si>
  <si>
    <t xml:space="preserve">IG: @sibersonik</t>
  </si>
  <si>
    <t xml:space="preserve">Web tasarım + SEO + kurumsal. Karşıyaka yerel shop — walk-in friendly telefon sonrası.</t>
  </si>
  <si>
    <t xml:space="preserve">Murat Sümbül SEO Ajansı</t>
  </si>
  <si>
    <t xml:space="preserve">Erdoğan Akkaya Cd. No:2, Karşıyaka/İzmir</t>
  </si>
  <si>
    <t xml:space="preserve">+90 532 328 41 11</t>
  </si>
  <si>
    <t xml:space="preserve">info@muratsumbul.com.tr</t>
  </si>
  <si>
    <t xml:space="preserve">https://muratsumbul.com.tr/</t>
  </si>
  <si>
    <t xml:space="preserve">SEO uzmanı, 1-kişilik operasyon. Yappaflow 'solo stüdyo hacmi' pitch'i birebir.</t>
  </si>
  <si>
    <t xml:space="preserve">Karşıyaka/İzmir (tam adres telefondan)</t>
  </si>
  <si>
    <t xml:space="preserve">LinkedIn: swonie</t>
  </si>
  <si>
    <t xml:space="preserve">Shopify + branding butik. Platform-partner → Yappaflow e-ticaret hand-off fit.</t>
  </si>
  <si>
    <t xml:space="preserve">GO Dijital</t>
  </si>
  <si>
    <t xml:space="preserve">https://godijital.net/</t>
  </si>
  <si>
    <t xml:space="preserve">LinkedIn: go-dijital</t>
  </si>
  <si>
    <t xml:space="preserve">Web + SEO + Google/Facebook Ads — 10+ yıl.</t>
  </si>
  <si>
    <t xml:space="preserve">Kreamotif</t>
  </si>
  <si>
    <t xml:space="preserve">https://kreamotif.com/</t>
  </si>
  <si>
    <t xml:space="preserve">LinkedIn: kreamotif</t>
  </si>
  <si>
    <t xml:space="preserve">2017 kuruluşu — dijital tasarım + yazılım + mobil + SEO.</t>
  </si>
  <si>
    <t xml:space="preserve">Ruber Media</t>
  </si>
  <si>
    <t xml:space="preserve">https://rubermedia.com/</t>
  </si>
  <si>
    <t xml:space="preserve">LinkedIn: ruber-media</t>
  </si>
  <si>
    <t xml:space="preserve">SEO + web + grafik + performans reklam.</t>
  </si>
  <si>
    <t xml:space="preserve">Bornova</t>
  </si>
  <si>
    <t xml:space="preserve">Yeşilova Mah.</t>
  </si>
  <si>
    <t xml:space="preserve">Yeşilova Mh. 4174/5 Sk. No:1, Bornova/İzmir</t>
  </si>
  <si>
    <t xml:space="preserve">LinkedIn: ycfdigital</t>
  </si>
  <si>
    <t xml:space="preserve">ikas + Shopify + Amazon partner. Bornova + USA ofis. Mansur Sarı kurucu.</t>
  </si>
  <si>
    <t xml:space="preserve">Erzene Mah.</t>
  </si>
  <si>
    <t xml:space="preserve">Erzene Mh. Gençlik Cd. No:11, Bornova/İzmir</t>
  </si>
  <si>
    <t xml:space="preserve">LinkedIn: emre-alkac</t>
  </si>
  <si>
    <t xml:space="preserve">İzmir + Ankara çift ofis freelance. Bornova üniversite bölgesi — kafe randevusu kolay.</t>
  </si>
  <si>
    <t xml:space="preserve">Kazımdirik Mah.</t>
  </si>
  <si>
    <t xml:space="preserve">Kazımdirik Mh. 229/2. Sk. No:15 İç Kapı:3, Bornova/İzmir</t>
  </si>
  <si>
    <t xml:space="preserve">LinkedIn: goiz-dijital</t>
  </si>
  <si>
    <t xml:space="preserve">Web + dijital pazarlama. Kazımdirik = Ege Üniversitesi yakını; öğrenci/esnaf karışımı.</t>
  </si>
  <si>
    <t xml:space="preserve">Cool Digital Solutions</t>
  </si>
  <si>
    <t xml:space="preserve">Ankara Cd. No:172/67, 35530 Bornova/İzmir</t>
  </si>
  <si>
    <t xml:space="preserve">hello@cooldijitalcozumler.com</t>
  </si>
  <si>
    <t xml:space="preserve">https://cooldijitalcozumler.com/</t>
  </si>
  <si>
    <t xml:space="preserve">LinkedIn: cool-digital-solutions</t>
  </si>
  <si>
    <t xml:space="preserve">Tailor-made web + proje yönetimi. Ankara Cd — Bornova'nın ana arteri.</t>
  </si>
  <si>
    <t xml:space="preserve">Kristal Fikirler</t>
  </si>
  <si>
    <t xml:space="preserve">Çınar Mah.</t>
  </si>
  <si>
    <t xml:space="preserve">Çınar Mh. 5003. Sk. No:2/2 Ofis:404, 35100 Bornova/İzmir</t>
  </si>
  <si>
    <t xml:space="preserve">+90 533 727 94 69</t>
  </si>
  <si>
    <t xml:space="preserve">https://kristalfikirler.com/</t>
  </si>
  <si>
    <t xml:space="preserve">LinkedIn: kristal-fikirler</t>
  </si>
  <si>
    <t xml:space="preserve">Dijital reklam + web + sosyal medya + Google/Instagram Ads.</t>
  </si>
  <si>
    <t xml:space="preserve">Serdar Öztürk</t>
  </si>
  <si>
    <t xml:space="preserve">Bornova/İzmir — freelance (telefon/LinkedIn üzerinden randevu)</t>
  </si>
  <si>
    <t xml:space="preserve">+90 553 298 47 48</t>
  </si>
  <si>
    <t xml:space="preserve">https://ozturkserdar.com/</t>
  </si>
  <si>
    <t xml:space="preserve">WordPress + e-ticaret + web tasarım. Bornova ikamet — üniversite çevresi.</t>
  </si>
  <si>
    <t xml:space="preserve">Çiğli</t>
  </si>
  <si>
    <t xml:space="preserve">Ataşehir Mah.</t>
  </si>
  <si>
    <t xml:space="preserve">Ataşehir Mh. 8001/3 Sk. Kaşarcı Sitesi A Blok No:7 K:4 D:20, Çiğli/İzmir</t>
  </si>
  <si>
    <t xml:space="preserve">LinkedIn: deniz-web-ajans</t>
  </si>
  <si>
    <t xml:space="preserve">360° ajans — 2018'den beri. Çiğli Ataşehir — Bayraklı-Karşıyaka hattının sonu; tek güne sığar.</t>
  </si>
  <si>
    <t xml:space="preserve">3adım Dijital Ajans</t>
  </si>
  <si>
    <t xml:space="preserve">Küçük Çiğli</t>
  </si>
  <si>
    <t xml:space="preserve">Küçük Çiğli 8758. Sk. No:18 D:1, 35620 Çiğli/İzmir</t>
  </si>
  <si>
    <t xml:space="preserve">https://3adimajans.com/</t>
  </si>
  <si>
    <t xml:space="preserve">Tabela + reklam + web + sosyal medya. Deniz Web ile aynı Çiğli güzergâhı.</t>
  </si>
  <si>
    <t xml:space="preserve">Balçova</t>
  </si>
  <si>
    <t xml:space="preserve">Onur Mah.</t>
  </si>
  <si>
    <t xml:space="preserve">Onur Mh. Limon Sk. No:1/73 Duru Plaza İş Merkezi, Balçova/İzmir</t>
  </si>
  <si>
    <t xml:space="preserve">LinkedIn: izmir-web-ajans</t>
  </si>
  <si>
    <t xml:space="preserve">Local İzmir shop — warm opener: 'İzmir'li bir tool olarak...'. Balçova Onur Mah. metro yakını.</t>
  </si>
  <si>
    <t xml:space="preserve">İZ AJANS</t>
  </si>
  <si>
    <t xml:space="preserve">Onur Mh. Limon Sk. No:1/73, Balçova/İzmir (aynı bina İzmir Web Ajans ile?)</t>
  </si>
  <si>
    <t xml:space="preserve">+90 850 203 10 17</t>
  </si>
  <si>
    <t xml:space="preserve">info@izajans.com</t>
  </si>
  <si>
    <t xml:space="preserve">https://calisma.izajans.com/</t>
  </si>
  <si>
    <t xml:space="preserve">Full-service web + e-ticaret + mobil + video. Adres İzmir Web Ajans ile benzer — aynı binada çift pitch.</t>
  </si>
  <si>
    <t xml:space="preserve">Onex Yazılım</t>
  </si>
  <si>
    <t xml:space="preserve">Karabağlar</t>
  </si>
  <si>
    <t xml:space="preserve">Vatan Mah.</t>
  </si>
  <si>
    <t xml:space="preserve">Vatan Mh., Karabağlar/İzmir (sokak/no telefondan)</t>
  </si>
  <si>
    <t xml:space="preserve">+90 232 339 39 00</t>
  </si>
  <si>
    <t xml:space="preserve">LinkedIn: onex-yazilim</t>
  </si>
  <si>
    <t xml:space="preserve">Özel yazılım + web/mobil + blockchain + data science. Karabağlar — güney İzmir; tek rota İZ AJANS ile.</t>
  </si>
  <si>
    <t xml:space="preserve">Grande Ajans</t>
  </si>
  <si>
    <t xml:space="preserve">Kemalpaşa</t>
  </si>
  <si>
    <t xml:space="preserve">Kemalpaşa + Bornova + Bayraklı + Torbalı (hizmet bölgesi — ana ofis Kemalpaşa)</t>
  </si>
  <si>
    <t xml:space="preserve">https://grandeajans.com/</t>
  </si>
  <si>
    <t xml:space="preserve">Mobile-uyumlu + SEO-friendly website. Ofis Kemalpaşa — İzmir merkez dışı (~30 km).</t>
  </si>
  <si>
    <t xml:space="preserve">İzmir — freelance (remote + in-person randevu)</t>
  </si>
  <si>
    <t xml:space="preserve">LinkedIn: tezel-zenginoğlu</t>
  </si>
  <si>
    <t xml:space="preserve">Portfolio-led freelance — güçlü web işi. Yappaflow solo-pitch birebir fit.</t>
  </si>
  <si>
    <t xml:space="preserve">İzmir — freelance (100+ site portföyü)</t>
  </si>
  <si>
    <t xml:space="preserve">100+ website — solid volume. İletişim bilgisi gizli; IG/portföy formu ile.</t>
  </si>
  <si>
    <t xml:space="preserve">Ali Gökalp (A&amp;G)</t>
  </si>
  <si>
    <t xml:space="preserve">Konya / İzmir</t>
  </si>
  <si>
    <t xml:space="preserve">Konya merkezli + İzmir ikinci pazar — freelance</t>
  </si>
  <si>
    <t xml:space="preserve">LinkedIn: ali-gökalp</t>
  </si>
  <si>
    <t xml:space="preserve">Konya Web Tasarım markası. İzmir pazarlıyor — İzmir ziyaretinde kahve randevusu mümkün.</t>
  </si>
  <si>
    <t xml:space="preserve">Batuhan Özyavru</t>
  </si>
  <si>
    <t xml:space="preserve">İzmir — freelance (WordPress/WooCommerce + SEO)</t>
  </si>
  <si>
    <t xml:space="preserve">+90 554 167 16 15</t>
  </si>
  <si>
    <t xml:space="preserve">https://batuhanozyavru.com.tr/</t>
  </si>
  <si>
    <t xml:space="preserve">WordPress + WooCommerce + web tasarım + SEO. Aktif telefon — WhatsApp randevu.</t>
  </si>
  <si>
    <t xml:space="preserve">İzmir — freelance (React/Vue full-stack + tasarım)</t>
  </si>
  <si>
    <t xml:space="preserve">https://gokmenbekar.com/</t>
  </si>
  <si>
    <t xml:space="preserve">LinkedIn: gokmenbekar</t>
  </si>
  <si>
    <t xml:space="preserve">Full-stack web — React, Vue. Modern tech; Yappaflow code-export pitch ona uygun.</t>
  </si>
  <si>
    <t xml:space="preserve">Cemal Karapınar</t>
  </si>
  <si>
    <t xml:space="preserve">İzmir — freelance (WordPress + web tasarım)</t>
  </si>
  <si>
    <t xml:space="preserve">https://cemalkarapinar.com.tr/</t>
  </si>
  <si>
    <t xml:space="preserve">LinkedIn: cemalkarapinar97</t>
  </si>
  <si>
    <t xml:space="preserve">WordPress uzmanı — genç freelancer, LinkedIn aktif.</t>
  </si>
  <si>
    <t xml:space="preserve">Oğuz Atılan</t>
  </si>
  <si>
    <t xml:space="preserve">İzmir — freelance (UI/UX + ürün + web)</t>
  </si>
  <si>
    <t xml:space="preserve">https://oguzatilan.com/</t>
  </si>
  <si>
    <t xml:space="preserve">Behance: OguzAtilan</t>
  </si>
  <si>
    <t xml:space="preserve">UI/UX + ürün tasarım + web. Design-first freelancer.</t>
  </si>
  <si>
    <t xml:space="preserve">Salim Dabanca</t>
  </si>
  <si>
    <t xml:space="preserve">İzmir — freelance (13+ yıl UI/UX + web)</t>
  </si>
  <si>
    <t xml:space="preserve">https://behance.net/ux-mars</t>
  </si>
  <si>
    <t xml:space="preserve">LinkedIn: salim-dabanca · Dribbble</t>
  </si>
  <si>
    <t xml:space="preserve">13+ yıl UI/UX + web. Kıdemli — consultancy fit, hızlı müşteri deneyimi.</t>
  </si>
  <si>
    <t xml:space="preserve">Ankara / İzmir</t>
  </si>
  <si>
    <t xml:space="preserve">Ankara + İzmir — freelance (LinkedIn first)</t>
  </si>
  <si>
    <t xml:space="preserve">LinkedIn: ayse-akar</t>
  </si>
  <si>
    <t xml:space="preserve">Front-end + WordPress. Çift-şehir — İzmir ziyareti sırasında önceden randevu.</t>
  </si>
  <si>
    <t xml:space="preserve">Özlem Design</t>
  </si>
  <si>
    <t xml:space="preserve">İzmir — freelance (web + grafik + içerik)</t>
  </si>
  <si>
    <t xml:space="preserve">https://www.behance.net/ozlemdesign</t>
  </si>
  <si>
    <t xml:space="preserve">Behance: ozlemdesign</t>
  </si>
  <si>
    <t xml:space="preserve">Web + grafik tasarım + içerik. Behance portföy odaklı.</t>
  </si>
  <si>
    <t xml:space="preserve">Buse Eker</t>
  </si>
  <si>
    <t xml:space="preserve">İzmir — freelance (product/UI + web)</t>
  </si>
  <si>
    <t xml:space="preserve">https://www.behance.net/buseeker</t>
  </si>
  <si>
    <t xml:space="preserve">LinkedIn · X: @buuseker</t>
  </si>
  <si>
    <t xml:space="preserve">Product/UI designer — web'e yan odak. Genç portföy.</t>
  </si>
  <si>
    <t xml:space="preserve">Berktuğ Mutlu</t>
  </si>
  <si>
    <t xml:space="preserve">İzmir — freelance (product + UI + web)</t>
  </si>
  <si>
    <t xml:space="preserve">https://www.behance.net/berktugmutlu</t>
  </si>
  <si>
    <t xml:space="preserve">LinkedIn · Dribbble</t>
  </si>
  <si>
    <t xml:space="preserve">Product designer — UI/UX odaklı. Web ikincil.</t>
  </si>
  <si>
    <t xml:space="preserve">Cartel (ikas Partner)</t>
  </si>
  <si>
    <t xml:space="preserve">İzmir (tam adres telefondan — ikas Partner dizini)</t>
  </si>
  <si>
    <t xml:space="preserve">https://cartel.com.tr/</t>
  </si>
  <si>
    <t xml:space="preserve">Resmi ikas Partner — e-ticaret kurulum/yönetim. Platform-partner tipik Yappaflow sınıfı.</t>
  </si>
  <si>
    <t xml:space="preserve">Protan (ikas + ideasoft Partner)</t>
  </si>
  <si>
    <t xml:space="preserve">İzmir + diğer şehirler (tam adres telefondan)</t>
  </si>
  <si>
    <t xml:space="preserve">https://protan.com.tr/</t>
  </si>
  <si>
    <t xml:space="preserve">ikas + ideasoft çift-partner. Yappaflow ZIP export ↔ platform import akışı.</t>
  </si>
  <si>
    <t xml:space="preserve">Webflower (Webflow Expert)</t>
  </si>
  <si>
    <t xml:space="preserve">İzmir (tam adres telefondan)</t>
  </si>
  <si>
    <t xml:space="preserve">https://webflower.co/</t>
  </si>
  <si>
    <t xml:space="preserve">IG: @webflowerco</t>
  </si>
  <si>
    <t xml:space="preserve">Webflow Expert Partner — Türkiye'de nadir. Yappaflow = Webflow alternatifi olarak pozisyon.</t>
  </si>
  <si>
    <t xml:space="preserve">KordonSoft</t>
  </si>
  <si>
    <t xml:space="preserve">info@kordonsoft.com</t>
  </si>
  <si>
    <t xml:space="preserve">https://kordonsoft.com/</t>
  </si>
  <si>
    <t xml:space="preserve">LinkedIn: kordonsoft</t>
  </si>
  <si>
    <t xml:space="preserve">2005'ten beri web + yazılım + SEO + e-ticaret. 20 yıl İzmir veteran.</t>
  </si>
  <si>
    <t xml:space="preserve">CEO Yazılım</t>
  </si>
  <si>
    <t xml:space="preserve">https://ceoyazilim.com/</t>
  </si>
  <si>
    <t xml:space="preserve">LinkedIn: ceo-yazilim</t>
  </si>
  <si>
    <t xml:space="preserve">2007 kuruluşu — web + SEO + özel yazılım + mobil. 18 yıl pazarda.</t>
  </si>
  <si>
    <t xml:space="preserve">Smartmetrics</t>
  </si>
  <si>
    <t xml:space="preserve">İzmir (tam adres telefondan — 30-kişilik ekip)</t>
  </si>
  <si>
    <t xml:space="preserve">https://smartmetrics.com.tr/</t>
  </si>
  <si>
    <t xml:space="preserve">LinkedIn: smartmetrics</t>
  </si>
  <si>
    <t xml:space="preserve">15 yıl, 30 kişi — web/mobil yazılım + dijital reklam. Orta-enterprise profili.</t>
  </si>
  <si>
    <t xml:space="preserve">İzmir Web Tasarım (IWT)</t>
  </si>
  <si>
    <t xml:space="preserve">https://izmirwebtasarim.com/</t>
  </si>
  <si>
    <t xml:space="preserve">LinkedIn: iwt-dijital-medya</t>
  </si>
  <si>
    <t xml:space="preserve">Kurumsal web + SEO + kurumsal kimlik. Generik isim — doğrulama önce.</t>
  </si>
  <si>
    <t xml:space="preserve">Olay Yeri Ajans</t>
  </si>
  <si>
    <t xml:space="preserve">https://olayyeriajans.com/</t>
  </si>
  <si>
    <t xml:space="preserve">LinkedIn: olay-yeri-ajans</t>
  </si>
  <si>
    <t xml:space="preserve">Dijital pazarlama + web yazılım — 15 yıl.</t>
  </si>
  <si>
    <t xml:space="preserve">Kaktüs Yazılım</t>
  </si>
  <si>
    <t xml:space="preserve">info@kaktusyazilim.com</t>
  </si>
  <si>
    <t xml:space="preserve">https://kaktusyazilim.com/</t>
  </si>
  <si>
    <t xml:space="preserve">LinkedIn: kaktus-yazilim</t>
  </si>
  <si>
    <t xml:space="preserve">UX/UI + mobile-responsive + SEO-friendly + özel yazılım.</t>
  </si>
  <si>
    <t xml:space="preserve">More Dijital Ajans</t>
  </si>
  <si>
    <t xml:space="preserve">https://moredijital.com/</t>
  </si>
  <si>
    <t xml:space="preserve">LinkedIn: moredijitalajans</t>
  </si>
  <si>
    <t xml:space="preserve">Yazılım + tasarım + pazarlama + analitik birleşimi.</t>
  </si>
  <si>
    <t xml:space="preserve">Gidea Medya Teknoloji</t>
  </si>
  <si>
    <t xml:space="preserve">https://gidea.tr/</t>
  </si>
  <si>
    <t xml:space="preserve">LinkedIn: gidea-medya</t>
  </si>
  <si>
    <t xml:space="preserve">Web + e-ticaret + grafik + kurumsal kimlik + SEO.</t>
  </si>
  <si>
    <t xml:space="preserve">Ege Ad Works</t>
  </si>
  <si>
    <t xml:space="preserve">https://egeadworks.com/</t>
  </si>
  <si>
    <t xml:space="preserve">Web + SEO + Google Ads + sosyal medya + performans pazarlama.</t>
  </si>
  <si>
    <t xml:space="preserve">Jeton Dijital</t>
  </si>
  <si>
    <t xml:space="preserve">https://jetondijital.com/</t>
  </si>
  <si>
    <t xml:space="preserve">Web + yazılım + dijital pazarlama. Global remote profili.</t>
  </si>
  <si>
    <t xml:space="preserve">İzmir Medya A.Ş.</t>
  </si>
  <si>
    <t xml:space="preserve">İzmir (tam adres telefondan — multi-district hizmet)</t>
  </si>
  <si>
    <t xml:space="preserve">https://izmirmedya.com.tr/</t>
  </si>
  <si>
    <t xml:space="preserve">LinkedIn: izmir-medya</t>
  </si>
  <si>
    <t xml:space="preserve">Web + SEO + sosyal medya. Tüm İzmir ilçelerinde hizmet.</t>
  </si>
  <si>
    <t xml:space="preserve">Ege Dijital</t>
  </si>
  <si>
    <t xml:space="preserve">https://egedijital.com/</t>
  </si>
  <si>
    <t xml:space="preserve">LinkedIn: ege-dijital</t>
  </si>
  <si>
    <t xml:space="preserve">Kurumsal web + yazılım danışmanlığı.</t>
  </si>
  <si>
    <t xml:space="preserve">Fok Dijital</t>
  </si>
  <si>
    <t xml:space="preserve">https://fok.com.tr/</t>
  </si>
  <si>
    <t xml:space="preserve">LinkedIn: fok-dijital</t>
  </si>
  <si>
    <t xml:space="preserve">Sosyal medya içerik + web + video + katalog.</t>
  </si>
  <si>
    <t xml:space="preserve">RE Media</t>
  </si>
  <si>
    <t xml:space="preserve">https://remediaworks.com/</t>
  </si>
  <si>
    <t xml:space="preserve">LinkedIn: re-media-ajansi</t>
  </si>
  <si>
    <t xml:space="preserve">Dijital reklam + sosyal medya + grafik.</t>
  </si>
  <si>
    <t xml:space="preserve">Zero Ajans</t>
  </si>
  <si>
    <t xml:space="preserve">https://zeroajans.com/</t>
  </si>
  <si>
    <t xml:space="preserve">LinkedIn: zero-ajans</t>
  </si>
  <si>
    <t xml:space="preserve">Kreatif + dijital reklam ajansı.</t>
  </si>
  <si>
    <t xml:space="preserve">Ajans Bee</t>
  </si>
  <si>
    <t xml:space="preserve">https://ajansbee.com/</t>
  </si>
  <si>
    <t xml:space="preserve">LinkedIn: ajans-bee</t>
  </si>
  <si>
    <t xml:space="preserve">360° pazarlama + web.</t>
  </si>
  <si>
    <t xml:space="preserve">Venio</t>
  </si>
  <si>
    <t xml:space="preserve">https://venio.com.tr/</t>
  </si>
  <si>
    <t xml:space="preserve">LinkedIn: venio-dijital</t>
  </si>
  <si>
    <t xml:space="preserve">360° dijital reklam + sosyal medya + video.</t>
  </si>
  <si>
    <t xml:space="preserve">Nokta Art</t>
  </si>
  <si>
    <t xml:space="preserve">Piri Reis Mah.</t>
  </si>
  <si>
    <t xml:space="preserve">Piri Reis Mh., İzmir (sokak telefondan)</t>
  </si>
  <si>
    <t xml:space="preserve">+90 537 971 70 03</t>
  </si>
  <si>
    <t xml:space="preserve">https://noktart.com.tr/</t>
  </si>
  <si>
    <t xml:space="preserve">Web tasarım + web uygulamaları + dijital pazarlama.</t>
  </si>
  <si>
    <t xml:space="preserve">CEK Medya</t>
  </si>
  <si>
    <t xml:space="preserve">https://cekmedya.com/</t>
  </si>
  <si>
    <t xml:space="preserve">LinkedIn: cek-medya</t>
  </si>
  <si>
    <t xml:space="preserve">SEO danışmanlığı + web tasarım + dijital reklam.</t>
  </si>
  <si>
    <t xml:space="preserve">Web tasarım + domain + hosting + sunucu + yazılım.</t>
  </si>
  <si>
    <t xml:space="preserve">M'Glay Creative</t>
  </si>
  <si>
    <t xml:space="preserve">https://mglaycreative.tr/</t>
  </si>
  <si>
    <t xml:space="preserve">Web + e-ticaret + sosyal medya + Google/Meta Ads.</t>
  </si>
  <si>
    <t xml:space="preserve">SRN Dijital Ajans</t>
  </si>
  <si>
    <t xml:space="preserve">https://srndijital.com/</t>
  </si>
  <si>
    <t xml:space="preserve">LinkedIn: srn-dijital</t>
  </si>
  <si>
    <t xml:space="preserve">Web design/yazılım + reklam + mobil + özel yazılım.</t>
  </si>
  <si>
    <t xml:space="preserve">SistemSensin</t>
  </si>
  <si>
    <t xml:space="preserve">İzmir (tam adres telefondan — multi-district)</t>
  </si>
  <si>
    <t xml:space="preserve">https://sistemsensin.com/</t>
  </si>
  <si>
    <t xml:space="preserve">LinkedIn: sistemsensin</t>
  </si>
  <si>
    <t xml:space="preserve">Web tasarım + dijital çözümler. Alsancak'tan Bornova'ya hizmet.</t>
  </si>
  <si>
    <t xml:space="preserve">Five Brand (5Brand)</t>
  </si>
  <si>
    <t xml:space="preserve">https://5brand.co/</t>
  </si>
  <si>
    <t xml:space="preserve">Marka kimliği + web tasarım. Küçük boutique.</t>
  </si>
  <si>
    <t xml:space="preserve">Four Dijital</t>
  </si>
  <si>
    <t xml:space="preserve">https://fourdijital.com/</t>
  </si>
  <si>
    <t xml:space="preserve">Web + dijital pazarlama + grafik.</t>
  </si>
  <si>
    <t xml:space="preserve">İzmir Creative</t>
  </si>
  <si>
    <t xml:space="preserve">https://izmircreative.com/</t>
  </si>
  <si>
    <t xml:space="preserve">Grafik + marka + web tasarım.</t>
  </si>
  <si>
    <t xml:space="preserve">Creas Creative</t>
  </si>
  <si>
    <t xml:space="preserve">https://creascreative.com/</t>
  </si>
  <si>
    <t xml:space="preserve">Web + marka + kreatif hizmetler.</t>
  </si>
  <si>
    <t xml:space="preserve">Ajans Esperto</t>
  </si>
  <si>
    <t xml:space="preserve">https://ajansesperto.com/</t>
  </si>
  <si>
    <t xml:space="preserve">Web tabanlı projeler + foto + video.</t>
  </si>
  <si>
    <t xml:space="preserve">https://sernisdijitalajans.com/</t>
  </si>
  <si>
    <t xml:space="preserve">SEO + sosyal medya stratejisi.</t>
  </si>
  <si>
    <t xml:space="preserve">Websight</t>
  </si>
  <si>
    <t xml:space="preserve">https://websight.com.tr/</t>
  </si>
  <si>
    <t xml:space="preserve">Web tasarım + dijital pazarlama.</t>
  </si>
  <si>
    <t xml:space="preserve">Realight Ajans</t>
  </si>
  <si>
    <t xml:space="preserve">https://realightajans.com/</t>
  </si>
  <si>
    <t xml:space="preserve">SEO + web + sosyal medya + dijital pazarlama.</t>
  </si>
  <si>
    <t xml:space="preserve">Kent Ajans</t>
  </si>
  <si>
    <t xml:space="preserve">https://kentajans.com.tr/</t>
  </si>
  <si>
    <t xml:space="preserve">SEO + web + Google Ads + dijital pazarlama.</t>
  </si>
  <si>
    <t xml:space="preserve">Formix Media</t>
  </si>
  <si>
    <t xml:space="preserve">+90 535 374 48 01</t>
  </si>
  <si>
    <t xml:space="preserve">https://formixmedia.com/</t>
  </si>
  <si>
    <t xml:space="preserve">SEO + dinamik tasarım ekibi.</t>
  </si>
  <si>
    <t xml:space="preserve">Portakal Dijital Çözümler</t>
  </si>
  <si>
    <t xml:space="preserve">LinkedIn: web-tasarim-izmir</t>
  </si>
  <si>
    <t xml:space="preserve">2015 kuruluşu — 'web tasarım İzmir' jenerik markası.</t>
  </si>
  <si>
    <t xml:space="preserve">İzmir Web Tasarım Ofisi</t>
  </si>
  <si>
    <t xml:space="preserve">https://izmirwebtasarimofisi.com/</t>
  </si>
  <si>
    <t xml:space="preserve">Kurumsal web + e-ticaret + mobil.</t>
  </si>
  <si>
    <t xml:space="preserve">İzmir Agency</t>
  </si>
  <si>
    <t xml:space="preserve">https://izmiragency.com/</t>
  </si>
  <si>
    <t xml:space="preserve">Web + grafik + sosyal medya + SEO + Google Ads.</t>
  </si>
  <si>
    <t xml:space="preserve">Grafiva</t>
  </si>
  <si>
    <t xml:space="preserve">https://grafiva.com/</t>
  </si>
  <si>
    <t xml:space="preserve">Web + grafik + marka.</t>
  </si>
  <si>
    <t xml:space="preserve">EF Tasarım</t>
  </si>
  <si>
    <t xml:space="preserve">https://eftasarim.com/</t>
  </si>
  <si>
    <t xml:space="preserve">Web + kurumsal kimlik + mobil.</t>
  </si>
  <si>
    <t xml:space="preserve">İzmir leads total</t>
  </si>
  <si>
    <t xml:space="preserve">Bayraklı-based</t>
  </si>
  <si>
    <t xml:space="preserve">Konak-based</t>
  </si>
  <si>
    <t xml:space="preserve">Karşıyaka-based</t>
  </si>
  <si>
    <t xml:space="preserve">Bornova-based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</si>
</sst>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1A8"/>
        <bgColor rgb="FFFFFF99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CED8"/>
      </left>
      <right style="thin">
        <color rgb="FFC7CED8"/>
      </right>
      <top style="thin">
        <color rgb="FFC7CED8"/>
      </top>
      <bottom style="thin">
        <color rgb="FFC7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1A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C7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1A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zmirLeads" displayName="IzmirLeads" ref="A4:M108" headerRowCount="1" totalsRowCount="0" totalsRowShown="0">
  <autoFilter ref="A4:M108"/>
  <tableColumns count="13">
    <tableColumn id="1" name="#"/>
    <tableColumn id="2" name="Agency"/>
    <tableColumn id="3" name="Type"/>
    <tableColumn id="4" name="District (İlçe)"/>
    <tableColumn id="5" name="Neighborhood (Mahalle)"/>
    <tableColumn id="6" name="Full Address"/>
    <tableColumn id="7" name="Phone"/>
    <tableColumn id="8" name="Email"/>
    <tableColumn id="9" name="Website"/>
    <tableColumn id="10" name="Socials"/>
    <tableColumn id="11" name="Visit Priority"/>
    <tableColumn id="12" name="Notes"/>
    <tableColumn id="13" name="Visit Status"/>
  </tableColumns>
</table>
</file>

<file path=xl/tables/table2.xml><?xml version="1.0" encoding="utf-8"?>
<table xmlns="http://schemas.openxmlformats.org/spreadsheetml/2006/main" id="2" name="Leads" displayName="Leads" ref="A1:M282" headerRowCount="1" totalsRowCount="0" totalsRowShown="0">
  <autoFilter ref="A1:M282"/>
  <tableColumns count="13">
    <tableColumn id="1" name="#"/>
    <tableColumn id="2" name="Company / Name"/>
    <tableColumn id="3" name="Type"/>
    <tableColumn id="4" name="City"/>
    <tableColumn id="5" name="Website"/>
    <tableColumn id="6" name="Email"/>
    <tableColumn id="7" name="Phone"/>
    <tableColumn id="8" name="LinkedIn"/>
    <tableColumn id="9" name="Decision-maker"/>
    <tableColumn id="10" name="Fit note"/>
    <tableColumn id="11" name="Outreach angle"/>
    <tableColumn id="12" name="Priority"/>
    <tableColumn id="13" name="Status"/>
  </tableColumns>
</table>
</file>

<file path=xl/tables/table3.xml><?xml version="1.0" encoding="utf-8"?>
<table xmlns="http://schemas.openxmlformats.org/spreadsheetml/2006/main" id="3" name="SamsunLeads" displayName="SamsunLeads" ref="A4:M43" headerRowCount="1" totalsRowCount="0" totalsRowShown="0">
  <autoFilter ref="A4:M43"/>
  <tableColumns count="13">
    <tableColumn id="1" name="#"/>
    <tableColumn id="2" name="Agency"/>
    <tableColumn id="3" name="Type"/>
    <tableColumn id="4" name="District (İlçe)"/>
    <tableColumn id="5" name="Neighborhood (Mahalle)"/>
    <tableColumn id="6" name="Full Address"/>
    <tableColumn id="7" name="Phone"/>
    <tableColumn id="8" name="Email"/>
    <tableColumn id="9" name="Website"/>
    <tableColumn id="10" name="Socials"/>
    <tableColumn id="11" name="Visit Priority"/>
    <tableColumn id="12" name="Notes"/>
    <tableColumn id="13" name="Visit 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31.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31.5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31.5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31.5" hidden="false" customHeight="true" outlineLevel="0" collapsed="false">
      <c r="A8" s="4" t="s">
        <v>6</v>
      </c>
      <c r="B8" s="4"/>
      <c r="C8" s="4"/>
      <c r="D8" s="4"/>
      <c r="E8" s="4"/>
      <c r="F8" s="4"/>
    </row>
    <row r="9" customFormat="false" ht="31.5" hidden="false" customHeight="true" outlineLevel="0" collapsed="false"/>
    <row r="10" customFormat="false" ht="31.5" hidden="false" customHeight="true" outlineLevel="0" collapsed="false">
      <c r="A10" s="3" t="s">
        <v>7</v>
      </c>
      <c r="B10" s="3"/>
      <c r="C10" s="3"/>
      <c r="D10" s="3"/>
      <c r="E10" s="3"/>
      <c r="F10" s="3"/>
    </row>
    <row r="11" customFormat="false" ht="31.5" hidden="false" customHeight="true" outlineLevel="0" collapsed="false">
      <c r="A11" s="4" t="s">
        <v>8</v>
      </c>
      <c r="B11" s="4"/>
      <c r="C11" s="4"/>
      <c r="D11" s="4"/>
      <c r="E11" s="4"/>
      <c r="F11" s="4"/>
    </row>
    <row r="12" customFormat="false" ht="31.5" hidden="false" customHeight="true" outlineLevel="0" collapsed="false">
      <c r="A12" s="4" t="s">
        <v>9</v>
      </c>
      <c r="B12" s="4"/>
      <c r="C12" s="4"/>
      <c r="D12" s="4"/>
      <c r="E12" s="4"/>
      <c r="F12" s="4"/>
    </row>
    <row r="13" customFormat="false" ht="31.5" hidden="false" customHeight="true" outlineLevel="0" collapsed="false">
      <c r="A13" s="4" t="s">
        <v>10</v>
      </c>
      <c r="B13" s="4"/>
      <c r="C13" s="4"/>
      <c r="D13" s="4"/>
      <c r="E13" s="4"/>
      <c r="F13" s="4"/>
    </row>
    <row r="14" customFormat="false" ht="31.5" hidden="false" customHeight="true" outlineLevel="0" collapsed="false"/>
    <row r="15" customFormat="false" ht="31.5" hidden="false" customHeight="true" outlineLevel="0" collapsed="false">
      <c r="A15" s="3" t="s">
        <v>11</v>
      </c>
      <c r="B15" s="3"/>
      <c r="C15" s="3"/>
      <c r="D15" s="3"/>
      <c r="E15" s="3"/>
      <c r="F15" s="3"/>
    </row>
    <row r="16" customFormat="false" ht="31.5" hidden="false" customHeight="true" outlineLevel="0" collapsed="false">
      <c r="A16" s="4" t="s">
        <v>12</v>
      </c>
      <c r="B16" s="4"/>
      <c r="C16" s="4"/>
      <c r="D16" s="4"/>
      <c r="E16" s="4"/>
      <c r="F16" s="4"/>
    </row>
    <row r="17" customFormat="false" ht="31.5" hidden="false" customHeight="true" outlineLevel="0" collapsed="false">
      <c r="A17" s="4" t="s">
        <v>13</v>
      </c>
      <c r="B17" s="4"/>
      <c r="C17" s="4"/>
      <c r="D17" s="4"/>
      <c r="E17" s="4"/>
      <c r="F17" s="4"/>
    </row>
    <row r="18" customFormat="false" ht="31.5" hidden="false" customHeight="true" outlineLevel="0" collapsed="false">
      <c r="A18" s="4" t="s">
        <v>14</v>
      </c>
      <c r="B18" s="4"/>
      <c r="C18" s="4"/>
      <c r="D18" s="4"/>
      <c r="E18" s="4"/>
      <c r="F18" s="4"/>
    </row>
    <row r="19" customFormat="false" ht="31.5" hidden="false" customHeight="true" outlineLevel="0" collapsed="false">
      <c r="A19" s="4" t="s">
        <v>15</v>
      </c>
      <c r="B19" s="4"/>
      <c r="C19" s="4"/>
      <c r="D19" s="4"/>
      <c r="E19" s="4"/>
      <c r="F19" s="4"/>
    </row>
    <row r="20" customFormat="false" ht="31.5" hidden="false" customHeight="true" outlineLevel="0" collapsed="false">
      <c r="A20" s="4" t="s">
        <v>16</v>
      </c>
      <c r="B20" s="4"/>
      <c r="C20" s="4"/>
      <c r="D20" s="4"/>
      <c r="E20" s="4"/>
      <c r="F20" s="4"/>
    </row>
    <row r="21" customFormat="false" ht="31.5" hidden="false" customHeight="true" outlineLevel="0" collapsed="false"/>
    <row r="22" customFormat="false" ht="31.5" hidden="false" customHeight="true" outlineLevel="0" collapsed="false">
      <c r="A22" s="3" t="s">
        <v>17</v>
      </c>
      <c r="B22" s="3"/>
      <c r="C22" s="3"/>
      <c r="D22" s="3"/>
      <c r="E22" s="3"/>
      <c r="F22" s="3"/>
    </row>
    <row r="23" customFormat="false" ht="31.5" hidden="false" customHeight="true" outlineLevel="0" collapsed="false">
      <c r="A23" s="4" t="s">
        <v>18</v>
      </c>
      <c r="B23" s="4"/>
      <c r="C23" s="4"/>
      <c r="D23" s="4"/>
      <c r="E23" s="4"/>
      <c r="F23" s="4"/>
    </row>
    <row r="24" customFormat="false" ht="31.5" hidden="false" customHeight="true" outlineLevel="0" collapsed="false">
      <c r="A24" s="4" t="s">
        <v>19</v>
      </c>
      <c r="B24" s="4"/>
      <c r="C24" s="4"/>
      <c r="D24" s="4"/>
      <c r="E24" s="4"/>
      <c r="F24" s="4"/>
    </row>
    <row r="25" customFormat="false" ht="31.5" hidden="false" customHeight="true" outlineLevel="0" collapsed="false">
      <c r="A25" s="4" t="s">
        <v>20</v>
      </c>
      <c r="B25" s="4"/>
      <c r="C25" s="4"/>
      <c r="D25" s="4"/>
      <c r="E25" s="4"/>
      <c r="F25" s="4"/>
    </row>
    <row r="26" customFormat="false" ht="31.5" hidden="false" customHeight="true" outlineLevel="0" collapsed="false"/>
    <row r="27" customFormat="false" ht="31.5" hidden="false" customHeight="true" outlineLevel="0" collapsed="false">
      <c r="A27" s="3" t="s">
        <v>21</v>
      </c>
      <c r="B27" s="3"/>
      <c r="C27" s="3"/>
      <c r="D27" s="3"/>
      <c r="E27" s="3"/>
      <c r="F27" s="3"/>
    </row>
    <row r="28" customFormat="false" ht="31.5" hidden="false" customHeight="true" outlineLevel="0" collapsed="false">
      <c r="A28" s="4" t="s">
        <v>22</v>
      </c>
      <c r="B28" s="4"/>
      <c r="C28" s="4"/>
      <c r="D28" s="4"/>
      <c r="E28" s="4"/>
      <c r="F28" s="4"/>
    </row>
    <row r="29" customFormat="false" ht="31.5" hidden="false" customHeight="true" outlineLevel="0" collapsed="false">
      <c r="A29" s="4" t="s">
        <v>23</v>
      </c>
      <c r="B29" s="4"/>
      <c r="C29" s="4"/>
      <c r="D29" s="4"/>
      <c r="E29" s="4"/>
      <c r="F29" s="4"/>
    </row>
    <row r="30" customFormat="false" ht="31.5" hidden="false" customHeight="true" outlineLevel="0" collapsed="false">
      <c r="A30" s="4" t="s">
        <v>24</v>
      </c>
      <c r="B30" s="4"/>
      <c r="C30" s="4"/>
      <c r="D30" s="4"/>
      <c r="E30" s="4"/>
      <c r="F30" s="4"/>
    </row>
    <row r="31" customFormat="false" ht="31.5" hidden="false" customHeight="true" outlineLevel="0" collapsed="false"/>
    <row r="32" customFormat="false" ht="31.5" hidden="false" customHeight="true" outlineLevel="0" collapsed="false">
      <c r="A32" s="3" t="s">
        <v>25</v>
      </c>
      <c r="B32" s="3"/>
      <c r="C32" s="3"/>
      <c r="D32" s="3"/>
      <c r="E32" s="3"/>
      <c r="F32" s="3"/>
    </row>
    <row r="33" customFormat="false" ht="31.5" hidden="false" customHeight="true" outlineLevel="0" collapsed="false">
      <c r="A33" s="4" t="s">
        <v>26</v>
      </c>
      <c r="B33" s="4"/>
      <c r="C33" s="4"/>
      <c r="D33" s="4"/>
      <c r="E33" s="4"/>
      <c r="F33" s="4"/>
    </row>
    <row r="34" customFormat="false" ht="31.5" hidden="false" customHeight="true" outlineLevel="0" collapsed="false">
      <c r="A34" s="4" t="s">
        <v>27</v>
      </c>
      <c r="B34" s="4"/>
      <c r="C34" s="4"/>
      <c r="D34" s="4"/>
      <c r="E34" s="4"/>
      <c r="F34" s="4"/>
    </row>
    <row r="35" customFormat="false" ht="31.5" hidden="false" customHeight="true" outlineLevel="0" collapsed="false">
      <c r="A35" s="4" t="s">
        <v>28</v>
      </c>
      <c r="B35" s="4"/>
      <c r="C35" s="4"/>
      <c r="D35" s="4"/>
      <c r="E35" s="4"/>
      <c r="F35" s="4"/>
    </row>
    <row r="36" customFormat="false" ht="31.5" hidden="false" customHeight="true" outlineLevel="0" collapsed="false">
      <c r="A36" s="4" t="s">
        <v>29</v>
      </c>
      <c r="B36" s="4"/>
      <c r="C36" s="4"/>
      <c r="D36" s="4"/>
      <c r="E36" s="4"/>
      <c r="F36" s="4"/>
    </row>
    <row r="37" customFormat="false" ht="31.5" hidden="false" customHeight="true" outlineLevel="0" collapsed="false"/>
  </sheetData>
  <mergeCells count="30">
    <mergeCell ref="A1:F1"/>
    <mergeCell ref="A2:F2"/>
    <mergeCell ref="A4:F4"/>
    <mergeCell ref="A5:F5"/>
    <mergeCell ref="A6:F6"/>
    <mergeCell ref="A7:F7"/>
    <mergeCell ref="A8:F8"/>
    <mergeCell ref="A10:F10"/>
    <mergeCell ref="A11:F11"/>
    <mergeCell ref="A12:F12"/>
    <mergeCell ref="A13:F13"/>
    <mergeCell ref="A15:F15"/>
    <mergeCell ref="A16:F16"/>
    <mergeCell ref="A17:F17"/>
    <mergeCell ref="A18:F18"/>
    <mergeCell ref="A19:F19"/>
    <mergeCell ref="A20:F20"/>
    <mergeCell ref="A22:F22"/>
    <mergeCell ref="A23:F23"/>
    <mergeCell ref="A24:F24"/>
    <mergeCell ref="A25:F25"/>
    <mergeCell ref="A27:F27"/>
    <mergeCell ref="A28:F28"/>
    <mergeCell ref="A29:F29"/>
    <mergeCell ref="A30:F30"/>
    <mergeCell ref="A32:F32"/>
    <mergeCell ref="A33:F33"/>
    <mergeCell ref="A34:F34"/>
    <mergeCell ref="A35:F35"/>
    <mergeCell ref="A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38"/>
    <col collapsed="false" customWidth="true" hidden="false" outlineLevel="0" max="6" min="6" style="0" width="32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24"/>
    <col collapsed="false" customWidth="true" hidden="false" outlineLevel="0" max="10" min="10" style="0" width="55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4"/>
  </cols>
  <sheetData>
    <row r="1" customFormat="false" ht="31.5" hidden="false" customHeight="true" outlineLevel="0" collapsed="false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40</v>
      </c>
      <c r="L1" s="5" t="s">
        <v>41</v>
      </c>
      <c r="M1" s="5" t="s">
        <v>42</v>
      </c>
    </row>
    <row r="2" customFormat="false" ht="54" hidden="false" customHeight="true" outlineLevel="0" collapsed="false">
      <c r="A2" s="6" t="n">
        <v>1</v>
      </c>
      <c r="B2" s="7" t="s">
        <v>43</v>
      </c>
      <c r="C2" s="6" t="s">
        <v>44</v>
      </c>
      <c r="D2" s="7" t="s">
        <v>45</v>
      </c>
      <c r="E2" s="7" t="s">
        <v>46</v>
      </c>
      <c r="F2" s="7" t="s">
        <v>47</v>
      </c>
      <c r="G2" s="7" t="s">
        <v>48</v>
      </c>
      <c r="H2" s="7" t="s">
        <v>49</v>
      </c>
      <c r="I2" s="7"/>
      <c r="J2" s="7" t="s">
        <v>50</v>
      </c>
      <c r="K2" s="7" t="s">
        <v>51</v>
      </c>
      <c r="L2" s="8" t="s">
        <v>52</v>
      </c>
      <c r="M2" s="7"/>
    </row>
    <row r="3" customFormat="false" ht="54" hidden="false" customHeight="true" outlineLevel="0" collapsed="false">
      <c r="A3" s="9" t="n">
        <v>2</v>
      </c>
      <c r="B3" s="10" t="s">
        <v>53</v>
      </c>
      <c r="C3" s="9" t="s">
        <v>44</v>
      </c>
      <c r="D3" s="10" t="s">
        <v>54</v>
      </c>
      <c r="E3" s="10" t="s">
        <v>55</v>
      </c>
      <c r="F3" s="10" t="s">
        <v>56</v>
      </c>
      <c r="G3" s="10" t="s">
        <v>57</v>
      </c>
      <c r="H3" s="10" t="s">
        <v>58</v>
      </c>
      <c r="I3" s="10"/>
      <c r="J3" s="10" t="s">
        <v>59</v>
      </c>
      <c r="K3" s="10" t="s">
        <v>51</v>
      </c>
      <c r="L3" s="8" t="s">
        <v>52</v>
      </c>
      <c r="M3" s="10"/>
    </row>
    <row r="4" customFormat="false" ht="54" hidden="false" customHeight="true" outlineLevel="0" collapsed="false">
      <c r="A4" s="6" t="n">
        <v>3</v>
      </c>
      <c r="B4" s="7" t="s">
        <v>60</v>
      </c>
      <c r="C4" s="6" t="s">
        <v>44</v>
      </c>
      <c r="D4" s="7" t="s">
        <v>61</v>
      </c>
      <c r="E4" s="7" t="s">
        <v>62</v>
      </c>
      <c r="F4" s="7" t="s">
        <v>63</v>
      </c>
      <c r="G4" s="7" t="s">
        <v>64</v>
      </c>
      <c r="H4" s="7" t="s">
        <v>65</v>
      </c>
      <c r="I4" s="7"/>
      <c r="J4" s="7" t="s">
        <v>66</v>
      </c>
      <c r="K4" s="7" t="s">
        <v>51</v>
      </c>
      <c r="L4" s="6" t="s">
        <v>67</v>
      </c>
      <c r="M4" s="7"/>
    </row>
    <row r="5" customFormat="false" ht="54" hidden="false" customHeight="true" outlineLevel="0" collapsed="false">
      <c r="A5" s="9" t="n">
        <v>4</v>
      </c>
      <c r="B5" s="10" t="s">
        <v>68</v>
      </c>
      <c r="C5" s="9" t="s">
        <v>44</v>
      </c>
      <c r="D5" s="10" t="s">
        <v>69</v>
      </c>
      <c r="E5" s="10" t="s">
        <v>70</v>
      </c>
      <c r="F5" s="10" t="s">
        <v>71</v>
      </c>
      <c r="G5" s="10" t="s">
        <v>72</v>
      </c>
      <c r="H5" s="10" t="s">
        <v>73</v>
      </c>
      <c r="I5" s="10"/>
      <c r="J5" s="10" t="s">
        <v>74</v>
      </c>
      <c r="K5" s="10" t="s">
        <v>51</v>
      </c>
      <c r="L5" s="9" t="s">
        <v>75</v>
      </c>
      <c r="M5" s="10"/>
    </row>
    <row r="6" customFormat="false" ht="54" hidden="false" customHeight="true" outlineLevel="0" collapsed="false">
      <c r="A6" s="6" t="n">
        <v>5</v>
      </c>
      <c r="B6" s="7" t="s">
        <v>76</v>
      </c>
      <c r="C6" s="6" t="s">
        <v>44</v>
      </c>
      <c r="D6" s="7" t="s">
        <v>69</v>
      </c>
      <c r="E6" s="7" t="s">
        <v>77</v>
      </c>
      <c r="F6" s="7" t="s">
        <v>78</v>
      </c>
      <c r="G6" s="7" t="s">
        <v>79</v>
      </c>
      <c r="H6" s="7"/>
      <c r="I6" s="7"/>
      <c r="J6" s="7" t="s">
        <v>80</v>
      </c>
      <c r="K6" s="7" t="s">
        <v>51</v>
      </c>
      <c r="L6" s="6" t="s">
        <v>67</v>
      </c>
      <c r="M6" s="7"/>
    </row>
    <row r="7" customFormat="false" ht="54" hidden="false" customHeight="true" outlineLevel="0" collapsed="false">
      <c r="A7" s="9" t="n">
        <v>6</v>
      </c>
      <c r="B7" s="10" t="s">
        <v>81</v>
      </c>
      <c r="C7" s="9" t="s">
        <v>44</v>
      </c>
      <c r="D7" s="10" t="s">
        <v>61</v>
      </c>
      <c r="E7" s="10" t="s">
        <v>82</v>
      </c>
      <c r="F7" s="10" t="s">
        <v>83</v>
      </c>
      <c r="G7" s="10" t="s">
        <v>84</v>
      </c>
      <c r="H7" s="10"/>
      <c r="I7" s="10"/>
      <c r="J7" s="10" t="s">
        <v>85</v>
      </c>
      <c r="K7" s="10" t="s">
        <v>51</v>
      </c>
      <c r="L7" s="9" t="s">
        <v>67</v>
      </c>
      <c r="M7" s="10"/>
    </row>
    <row r="8" customFormat="false" ht="54" hidden="false" customHeight="true" outlineLevel="0" collapsed="false">
      <c r="A8" s="6" t="n">
        <v>7</v>
      </c>
      <c r="B8" s="7" t="s">
        <v>86</v>
      </c>
      <c r="C8" s="6" t="s">
        <v>44</v>
      </c>
      <c r="D8" s="7" t="s">
        <v>69</v>
      </c>
      <c r="E8" s="7" t="s">
        <v>87</v>
      </c>
      <c r="F8" s="7" t="s">
        <v>88</v>
      </c>
      <c r="G8" s="7" t="s">
        <v>89</v>
      </c>
      <c r="H8" s="7" t="s">
        <v>90</v>
      </c>
      <c r="I8" s="7" t="s">
        <v>91</v>
      </c>
      <c r="J8" s="7" t="s">
        <v>92</v>
      </c>
      <c r="K8" s="7" t="s">
        <v>51</v>
      </c>
      <c r="L8" s="8" t="s">
        <v>52</v>
      </c>
      <c r="M8" s="7"/>
    </row>
    <row r="9" customFormat="false" ht="54" hidden="false" customHeight="true" outlineLevel="0" collapsed="false">
      <c r="A9" s="9" t="n">
        <v>8</v>
      </c>
      <c r="B9" s="10" t="s">
        <v>93</v>
      </c>
      <c r="C9" s="9" t="s">
        <v>44</v>
      </c>
      <c r="D9" s="10" t="s">
        <v>94</v>
      </c>
      <c r="E9" s="10" t="s">
        <v>95</v>
      </c>
      <c r="F9" s="10" t="s">
        <v>96</v>
      </c>
      <c r="G9" s="10" t="s">
        <v>97</v>
      </c>
      <c r="H9" s="10"/>
      <c r="I9" s="10"/>
      <c r="J9" s="10" t="s">
        <v>98</v>
      </c>
      <c r="K9" s="10" t="s">
        <v>51</v>
      </c>
      <c r="L9" s="8" t="s">
        <v>52</v>
      </c>
      <c r="M9" s="10"/>
    </row>
    <row r="10" customFormat="false" ht="54" hidden="false" customHeight="true" outlineLevel="0" collapsed="false">
      <c r="A10" s="6" t="n">
        <v>9</v>
      </c>
      <c r="B10" s="7" t="s">
        <v>99</v>
      </c>
      <c r="C10" s="6" t="s">
        <v>44</v>
      </c>
      <c r="D10" s="7" t="s">
        <v>69</v>
      </c>
      <c r="E10" s="7" t="s">
        <v>100</v>
      </c>
      <c r="F10" s="7" t="s">
        <v>101</v>
      </c>
      <c r="G10" s="7" t="s">
        <v>102</v>
      </c>
      <c r="H10" s="7"/>
      <c r="I10" s="7"/>
      <c r="J10" s="7" t="s">
        <v>103</v>
      </c>
      <c r="K10" s="7" t="s">
        <v>51</v>
      </c>
      <c r="L10" s="6" t="s">
        <v>67</v>
      </c>
      <c r="M10" s="7"/>
    </row>
    <row r="11" customFormat="false" ht="54" hidden="false" customHeight="true" outlineLevel="0" collapsed="false">
      <c r="A11" s="9" t="n">
        <v>10</v>
      </c>
      <c r="B11" s="10" t="s">
        <v>104</v>
      </c>
      <c r="C11" s="9" t="s">
        <v>44</v>
      </c>
      <c r="D11" s="10" t="s">
        <v>69</v>
      </c>
      <c r="E11" s="10" t="s">
        <v>105</v>
      </c>
      <c r="F11" s="10" t="s">
        <v>106</v>
      </c>
      <c r="G11" s="10" t="s">
        <v>107</v>
      </c>
      <c r="H11" s="10"/>
      <c r="I11" s="10"/>
      <c r="J11" s="10" t="s">
        <v>108</v>
      </c>
      <c r="K11" s="10" t="s">
        <v>51</v>
      </c>
      <c r="L11" s="9" t="s">
        <v>67</v>
      </c>
      <c r="M11" s="10"/>
    </row>
    <row r="12" customFormat="false" ht="54" hidden="false" customHeight="true" outlineLevel="0" collapsed="false">
      <c r="A12" s="6" t="n">
        <v>11</v>
      </c>
      <c r="B12" s="7" t="s">
        <v>109</v>
      </c>
      <c r="C12" s="6" t="s">
        <v>44</v>
      </c>
      <c r="D12" s="7" t="s">
        <v>69</v>
      </c>
      <c r="E12" s="7" t="s">
        <v>110</v>
      </c>
      <c r="F12" s="7" t="s">
        <v>111</v>
      </c>
      <c r="G12" s="7" t="s">
        <v>112</v>
      </c>
      <c r="H12" s="7"/>
      <c r="I12" s="7"/>
      <c r="J12" s="7" t="s">
        <v>113</v>
      </c>
      <c r="K12" s="7" t="s">
        <v>51</v>
      </c>
      <c r="L12" s="6" t="s">
        <v>67</v>
      </c>
      <c r="M12" s="7"/>
    </row>
    <row r="13" customFormat="false" ht="54" hidden="false" customHeight="true" outlineLevel="0" collapsed="false">
      <c r="A13" s="9" t="n">
        <v>12</v>
      </c>
      <c r="B13" s="10" t="s">
        <v>114</v>
      </c>
      <c r="C13" s="9" t="s">
        <v>44</v>
      </c>
      <c r="D13" s="10" t="s">
        <v>69</v>
      </c>
      <c r="E13" s="10" t="s">
        <v>115</v>
      </c>
      <c r="F13" s="10" t="s">
        <v>116</v>
      </c>
      <c r="G13" s="10" t="s">
        <v>117</v>
      </c>
      <c r="H13" s="10"/>
      <c r="I13" s="10"/>
      <c r="J13" s="10" t="s">
        <v>118</v>
      </c>
      <c r="K13" s="10" t="s">
        <v>51</v>
      </c>
      <c r="L13" s="9" t="s">
        <v>75</v>
      </c>
      <c r="M13" s="10"/>
    </row>
    <row r="14" customFormat="false" ht="54" hidden="false" customHeight="true" outlineLevel="0" collapsed="false">
      <c r="A14" s="6" t="n">
        <v>13</v>
      </c>
      <c r="B14" s="7" t="s">
        <v>119</v>
      </c>
      <c r="C14" s="6" t="s">
        <v>44</v>
      </c>
      <c r="D14" s="7" t="s">
        <v>120</v>
      </c>
      <c r="E14" s="7" t="s">
        <v>121</v>
      </c>
      <c r="F14" s="7" t="s">
        <v>122</v>
      </c>
      <c r="G14" s="7" t="s">
        <v>123</v>
      </c>
      <c r="H14" s="7"/>
      <c r="I14" s="7"/>
      <c r="J14" s="7" t="s">
        <v>124</v>
      </c>
      <c r="K14" s="7" t="s">
        <v>125</v>
      </c>
      <c r="L14" s="6" t="s">
        <v>75</v>
      </c>
      <c r="M14" s="7"/>
    </row>
    <row r="15" customFormat="false" ht="54" hidden="false" customHeight="true" outlineLevel="0" collapsed="false">
      <c r="A15" s="9" t="n">
        <v>14</v>
      </c>
      <c r="B15" s="10" t="s">
        <v>126</v>
      </c>
      <c r="C15" s="9" t="s">
        <v>44</v>
      </c>
      <c r="D15" s="10" t="s">
        <v>69</v>
      </c>
      <c r="E15" s="10" t="s">
        <v>127</v>
      </c>
      <c r="F15" s="10" t="s">
        <v>128</v>
      </c>
      <c r="G15" s="10" t="s">
        <v>129</v>
      </c>
      <c r="H15" s="10"/>
      <c r="I15" s="10"/>
      <c r="J15" s="10" t="s">
        <v>130</v>
      </c>
      <c r="K15" s="10" t="s">
        <v>51</v>
      </c>
      <c r="L15" s="9" t="s">
        <v>67</v>
      </c>
      <c r="M15" s="10"/>
    </row>
    <row r="16" customFormat="false" ht="54" hidden="false" customHeight="true" outlineLevel="0" collapsed="false">
      <c r="A16" s="6" t="n">
        <v>15</v>
      </c>
      <c r="B16" s="7" t="s">
        <v>131</v>
      </c>
      <c r="C16" s="6" t="s">
        <v>44</v>
      </c>
      <c r="D16" s="7" t="s">
        <v>132</v>
      </c>
      <c r="E16" s="7" t="s">
        <v>133</v>
      </c>
      <c r="F16" s="7" t="s">
        <v>134</v>
      </c>
      <c r="G16" s="7" t="s">
        <v>135</v>
      </c>
      <c r="H16" s="7" t="s">
        <v>136</v>
      </c>
      <c r="I16" s="7"/>
      <c r="J16" s="7" t="s">
        <v>137</v>
      </c>
      <c r="K16" s="7" t="s">
        <v>51</v>
      </c>
      <c r="L16" s="8" t="s">
        <v>52</v>
      </c>
      <c r="M16" s="7"/>
    </row>
    <row r="17" customFormat="false" ht="54" hidden="false" customHeight="true" outlineLevel="0" collapsed="false">
      <c r="A17" s="9" t="n">
        <v>16</v>
      </c>
      <c r="B17" s="10" t="s">
        <v>138</v>
      </c>
      <c r="C17" s="9" t="s">
        <v>44</v>
      </c>
      <c r="D17" s="10" t="s">
        <v>139</v>
      </c>
      <c r="E17" s="10" t="s">
        <v>140</v>
      </c>
      <c r="F17" s="10" t="s">
        <v>141</v>
      </c>
      <c r="G17" s="10" t="s">
        <v>142</v>
      </c>
      <c r="H17" s="10" t="s">
        <v>143</v>
      </c>
      <c r="I17" s="10"/>
      <c r="J17" s="10" t="s">
        <v>144</v>
      </c>
      <c r="K17" s="10" t="s">
        <v>51</v>
      </c>
      <c r="L17" s="8" t="s">
        <v>52</v>
      </c>
      <c r="M17" s="10"/>
    </row>
    <row r="18" customFormat="false" ht="54" hidden="false" customHeight="true" outlineLevel="0" collapsed="false">
      <c r="A18" s="6" t="n">
        <v>17</v>
      </c>
      <c r="B18" s="7" t="s">
        <v>145</v>
      </c>
      <c r="C18" s="6" t="s">
        <v>44</v>
      </c>
      <c r="D18" s="7" t="s">
        <v>146</v>
      </c>
      <c r="E18" s="7" t="s">
        <v>147</v>
      </c>
      <c r="F18" s="7" t="s">
        <v>148</v>
      </c>
      <c r="G18" s="7" t="s">
        <v>149</v>
      </c>
      <c r="H18" s="7" t="s">
        <v>150</v>
      </c>
      <c r="I18" s="7"/>
      <c r="J18" s="7" t="s">
        <v>151</v>
      </c>
      <c r="K18" s="7" t="s">
        <v>51</v>
      </c>
      <c r="L18" s="8" t="s">
        <v>52</v>
      </c>
      <c r="M18" s="7"/>
    </row>
    <row r="19" customFormat="false" ht="54" hidden="false" customHeight="true" outlineLevel="0" collapsed="false">
      <c r="A19" s="9" t="n">
        <v>18</v>
      </c>
      <c r="B19" s="10" t="s">
        <v>152</v>
      </c>
      <c r="C19" s="9" t="s">
        <v>44</v>
      </c>
      <c r="D19" s="10" t="s">
        <v>69</v>
      </c>
      <c r="E19" s="10" t="s">
        <v>153</v>
      </c>
      <c r="F19" s="10"/>
      <c r="G19" s="10" t="s">
        <v>154</v>
      </c>
      <c r="H19" s="10"/>
      <c r="I19" s="10" t="s">
        <v>155</v>
      </c>
      <c r="J19" s="10" t="s">
        <v>156</v>
      </c>
      <c r="K19" s="10" t="s">
        <v>51</v>
      </c>
      <c r="L19" s="9" t="s">
        <v>67</v>
      </c>
      <c r="M19" s="10"/>
    </row>
    <row r="20" customFormat="false" ht="54" hidden="false" customHeight="true" outlineLevel="0" collapsed="false">
      <c r="A20" s="6" t="n">
        <v>19</v>
      </c>
      <c r="B20" s="7" t="s">
        <v>157</v>
      </c>
      <c r="C20" s="6" t="s">
        <v>44</v>
      </c>
      <c r="D20" s="7" t="s">
        <v>120</v>
      </c>
      <c r="E20" s="7" t="s">
        <v>158</v>
      </c>
      <c r="F20" s="7"/>
      <c r="G20" s="7"/>
      <c r="H20" s="7"/>
      <c r="I20" s="7"/>
      <c r="J20" s="7" t="s">
        <v>159</v>
      </c>
      <c r="K20" s="7" t="s">
        <v>125</v>
      </c>
      <c r="L20" s="6" t="s">
        <v>67</v>
      </c>
      <c r="M20" s="7"/>
    </row>
    <row r="21" customFormat="false" ht="54" hidden="false" customHeight="true" outlineLevel="0" collapsed="false">
      <c r="A21" s="9" t="n">
        <v>20</v>
      </c>
      <c r="B21" s="10" t="s">
        <v>160</v>
      </c>
      <c r="C21" s="9" t="s">
        <v>161</v>
      </c>
      <c r="D21" s="10" t="s">
        <v>162</v>
      </c>
      <c r="E21" s="10" t="s">
        <v>163</v>
      </c>
      <c r="F21" s="10"/>
      <c r="G21" s="10" t="s">
        <v>164</v>
      </c>
      <c r="H21" s="10" t="s">
        <v>165</v>
      </c>
      <c r="I21" s="10"/>
      <c r="J21" s="10" t="s">
        <v>166</v>
      </c>
      <c r="K21" s="10" t="s">
        <v>125</v>
      </c>
      <c r="L21" s="8" t="s">
        <v>52</v>
      </c>
      <c r="M21" s="10"/>
    </row>
    <row r="22" customFormat="false" ht="54" hidden="false" customHeight="true" outlineLevel="0" collapsed="false">
      <c r="A22" s="6" t="n">
        <v>21</v>
      </c>
      <c r="B22" s="7" t="s">
        <v>167</v>
      </c>
      <c r="C22" s="6" t="s">
        <v>161</v>
      </c>
      <c r="D22" s="7" t="s">
        <v>61</v>
      </c>
      <c r="E22" s="7" t="s">
        <v>168</v>
      </c>
      <c r="F22" s="7" t="s">
        <v>169</v>
      </c>
      <c r="G22" s="7" t="s">
        <v>170</v>
      </c>
      <c r="H22" s="7" t="s">
        <v>171</v>
      </c>
      <c r="I22" s="7"/>
      <c r="J22" s="7" t="s">
        <v>172</v>
      </c>
      <c r="K22" s="7" t="s">
        <v>125</v>
      </c>
      <c r="L22" s="8" t="s">
        <v>52</v>
      </c>
      <c r="M22" s="7"/>
    </row>
    <row r="23" customFormat="false" ht="54" hidden="false" customHeight="true" outlineLevel="0" collapsed="false">
      <c r="A23" s="9" t="n">
        <v>22</v>
      </c>
      <c r="B23" s="10" t="s">
        <v>173</v>
      </c>
      <c r="C23" s="9" t="s">
        <v>161</v>
      </c>
      <c r="D23" s="10" t="s">
        <v>69</v>
      </c>
      <c r="E23" s="10" t="s">
        <v>174</v>
      </c>
      <c r="F23" s="10" t="s">
        <v>175</v>
      </c>
      <c r="G23" s="10" t="s">
        <v>176</v>
      </c>
      <c r="H23" s="10" t="s">
        <v>177</v>
      </c>
      <c r="I23" s="10" t="s">
        <v>178</v>
      </c>
      <c r="J23" s="10" t="s">
        <v>179</v>
      </c>
      <c r="K23" s="10" t="s">
        <v>125</v>
      </c>
      <c r="L23" s="8" t="s">
        <v>52</v>
      </c>
      <c r="M23" s="10"/>
    </row>
    <row r="24" customFormat="false" ht="54" hidden="false" customHeight="true" outlineLevel="0" collapsed="false">
      <c r="A24" s="6" t="n">
        <v>23</v>
      </c>
      <c r="B24" s="7" t="s">
        <v>180</v>
      </c>
      <c r="C24" s="6" t="s">
        <v>161</v>
      </c>
      <c r="D24" s="7" t="s">
        <v>181</v>
      </c>
      <c r="E24" s="7" t="s">
        <v>182</v>
      </c>
      <c r="F24" s="7" t="s">
        <v>183</v>
      </c>
      <c r="G24" s="7" t="s">
        <v>184</v>
      </c>
      <c r="H24" s="7" t="s">
        <v>185</v>
      </c>
      <c r="I24" s="7"/>
      <c r="J24" s="7" t="s">
        <v>186</v>
      </c>
      <c r="K24" s="7" t="s">
        <v>125</v>
      </c>
      <c r="L24" s="8" t="s">
        <v>52</v>
      </c>
      <c r="M24" s="7"/>
    </row>
    <row r="25" customFormat="false" ht="54" hidden="false" customHeight="true" outlineLevel="0" collapsed="false">
      <c r="A25" s="9" t="n">
        <v>24</v>
      </c>
      <c r="B25" s="10" t="s">
        <v>187</v>
      </c>
      <c r="C25" s="9" t="s">
        <v>161</v>
      </c>
      <c r="D25" s="10" t="s">
        <v>69</v>
      </c>
      <c r="E25" s="10" t="s">
        <v>188</v>
      </c>
      <c r="F25" s="10" t="s">
        <v>189</v>
      </c>
      <c r="G25" s="10" t="s">
        <v>190</v>
      </c>
      <c r="H25" s="10"/>
      <c r="I25" s="10"/>
      <c r="J25" s="10" t="s">
        <v>191</v>
      </c>
      <c r="K25" s="10" t="s">
        <v>125</v>
      </c>
      <c r="L25" s="8" t="s">
        <v>52</v>
      </c>
      <c r="M25" s="10"/>
    </row>
    <row r="26" customFormat="false" ht="54" hidden="false" customHeight="true" outlineLevel="0" collapsed="false">
      <c r="A26" s="6" t="n">
        <v>25</v>
      </c>
      <c r="B26" s="7" t="s">
        <v>192</v>
      </c>
      <c r="C26" s="6" t="s">
        <v>161</v>
      </c>
      <c r="D26" s="7" t="s">
        <v>193</v>
      </c>
      <c r="E26" s="7" t="s">
        <v>194</v>
      </c>
      <c r="F26" s="7" t="s">
        <v>195</v>
      </c>
      <c r="G26" s="7" t="s">
        <v>196</v>
      </c>
      <c r="H26" s="7" t="s">
        <v>197</v>
      </c>
      <c r="I26" s="7"/>
      <c r="J26" s="7" t="s">
        <v>198</v>
      </c>
      <c r="K26" s="7" t="s">
        <v>125</v>
      </c>
      <c r="L26" s="8" t="s">
        <v>52</v>
      </c>
      <c r="M26" s="7"/>
    </row>
    <row r="27" customFormat="false" ht="54" hidden="false" customHeight="true" outlineLevel="0" collapsed="false">
      <c r="A27" s="9" t="n">
        <v>26</v>
      </c>
      <c r="B27" s="10" t="s">
        <v>199</v>
      </c>
      <c r="C27" s="9" t="s">
        <v>44</v>
      </c>
      <c r="D27" s="10" t="s">
        <v>200</v>
      </c>
      <c r="E27" s="10" t="s">
        <v>201</v>
      </c>
      <c r="F27" s="10"/>
      <c r="G27" s="10" t="s">
        <v>202</v>
      </c>
      <c r="H27" s="10" t="s">
        <v>203</v>
      </c>
      <c r="I27" s="10"/>
      <c r="J27" s="10" t="s">
        <v>204</v>
      </c>
      <c r="K27" s="10" t="s">
        <v>51</v>
      </c>
      <c r="L27" s="9" t="s">
        <v>67</v>
      </c>
      <c r="M27" s="10"/>
    </row>
    <row r="28" customFormat="false" ht="54" hidden="false" customHeight="true" outlineLevel="0" collapsed="false">
      <c r="A28" s="6" t="n">
        <v>27</v>
      </c>
      <c r="B28" s="7" t="s">
        <v>205</v>
      </c>
      <c r="C28" s="6" t="s">
        <v>44</v>
      </c>
      <c r="D28" s="7" t="s">
        <v>206</v>
      </c>
      <c r="E28" s="7" t="s">
        <v>207</v>
      </c>
      <c r="F28" s="7" t="s">
        <v>208</v>
      </c>
      <c r="G28" s="7" t="s">
        <v>209</v>
      </c>
      <c r="H28" s="7" t="s">
        <v>210</v>
      </c>
      <c r="I28" s="7" t="s">
        <v>211</v>
      </c>
      <c r="J28" s="7" t="s">
        <v>212</v>
      </c>
      <c r="K28" s="7" t="s">
        <v>51</v>
      </c>
      <c r="L28" s="8" t="s">
        <v>52</v>
      </c>
      <c r="M28" s="7"/>
    </row>
    <row r="29" customFormat="false" ht="54" hidden="false" customHeight="true" outlineLevel="0" collapsed="false">
      <c r="A29" s="9" t="n">
        <v>28</v>
      </c>
      <c r="B29" s="10" t="s">
        <v>213</v>
      </c>
      <c r="C29" s="9" t="s">
        <v>44</v>
      </c>
      <c r="D29" s="10" t="s">
        <v>214</v>
      </c>
      <c r="E29" s="10" t="s">
        <v>215</v>
      </c>
      <c r="F29" s="10" t="s">
        <v>216</v>
      </c>
      <c r="G29" s="10" t="s">
        <v>217</v>
      </c>
      <c r="H29" s="10" t="s">
        <v>218</v>
      </c>
      <c r="I29" s="10"/>
      <c r="J29" s="10" t="s">
        <v>219</v>
      </c>
      <c r="K29" s="10" t="s">
        <v>51</v>
      </c>
      <c r="L29" s="8" t="s">
        <v>52</v>
      </c>
      <c r="M29" s="10"/>
    </row>
    <row r="30" customFormat="false" ht="54" hidden="false" customHeight="true" outlineLevel="0" collapsed="false">
      <c r="A30" s="6" t="n">
        <v>29</v>
      </c>
      <c r="B30" s="7" t="s">
        <v>220</v>
      </c>
      <c r="C30" s="6" t="s">
        <v>44</v>
      </c>
      <c r="D30" s="7" t="s">
        <v>221</v>
      </c>
      <c r="E30" s="7" t="s">
        <v>222</v>
      </c>
      <c r="F30" s="7" t="s">
        <v>223</v>
      </c>
      <c r="G30" s="7" t="s">
        <v>224</v>
      </c>
      <c r="H30" s="7"/>
      <c r="I30" s="7"/>
      <c r="J30" s="7" t="s">
        <v>225</v>
      </c>
      <c r="K30" s="7" t="s">
        <v>51</v>
      </c>
      <c r="L30" s="6" t="s">
        <v>67</v>
      </c>
      <c r="M30" s="7"/>
    </row>
    <row r="31" customFormat="false" ht="54" hidden="false" customHeight="true" outlineLevel="0" collapsed="false">
      <c r="A31" s="9" t="n">
        <v>30</v>
      </c>
      <c r="B31" s="10" t="s">
        <v>226</v>
      </c>
      <c r="C31" s="9" t="s">
        <v>44</v>
      </c>
      <c r="D31" s="10" t="s">
        <v>227</v>
      </c>
      <c r="E31" s="10" t="s">
        <v>228</v>
      </c>
      <c r="F31" s="10" t="s">
        <v>229</v>
      </c>
      <c r="G31" s="10" t="s">
        <v>230</v>
      </c>
      <c r="H31" s="10"/>
      <c r="I31" s="10"/>
      <c r="J31" s="10" t="s">
        <v>231</v>
      </c>
      <c r="K31" s="10" t="s">
        <v>51</v>
      </c>
      <c r="L31" s="9" t="s">
        <v>67</v>
      </c>
      <c r="M31" s="10"/>
    </row>
    <row r="32" customFormat="false" ht="54" hidden="false" customHeight="true" outlineLevel="0" collapsed="false">
      <c r="A32" s="6" t="n">
        <v>31</v>
      </c>
      <c r="B32" s="7" t="s">
        <v>232</v>
      </c>
      <c r="C32" s="6" t="s">
        <v>44</v>
      </c>
      <c r="D32" s="7" t="s">
        <v>233</v>
      </c>
      <c r="E32" s="7" t="s">
        <v>234</v>
      </c>
      <c r="F32" s="7" t="s">
        <v>235</v>
      </c>
      <c r="G32" s="7" t="s">
        <v>236</v>
      </c>
      <c r="H32" s="7"/>
      <c r="I32" s="7"/>
      <c r="J32" s="7" t="s">
        <v>237</v>
      </c>
      <c r="K32" s="7" t="s">
        <v>51</v>
      </c>
      <c r="L32" s="6" t="s">
        <v>67</v>
      </c>
      <c r="M32" s="7"/>
    </row>
    <row r="33" customFormat="false" ht="54" hidden="false" customHeight="true" outlineLevel="0" collapsed="false">
      <c r="A33" s="9" t="n">
        <v>32</v>
      </c>
      <c r="B33" s="10" t="s">
        <v>238</v>
      </c>
      <c r="C33" s="9" t="s">
        <v>44</v>
      </c>
      <c r="D33" s="10" t="s">
        <v>239</v>
      </c>
      <c r="E33" s="10" t="s">
        <v>240</v>
      </c>
      <c r="F33" s="10" t="s">
        <v>241</v>
      </c>
      <c r="G33" s="10" t="s">
        <v>242</v>
      </c>
      <c r="H33" s="10"/>
      <c r="I33" s="10"/>
      <c r="J33" s="10" t="s">
        <v>243</v>
      </c>
      <c r="K33" s="10" t="s">
        <v>51</v>
      </c>
      <c r="L33" s="9" t="s">
        <v>67</v>
      </c>
      <c r="M33" s="10"/>
    </row>
    <row r="34" customFormat="false" ht="54" hidden="false" customHeight="true" outlineLevel="0" collapsed="false">
      <c r="A34" s="6" t="n">
        <v>33</v>
      </c>
      <c r="B34" s="7" t="s">
        <v>244</v>
      </c>
      <c r="C34" s="6" t="s">
        <v>44</v>
      </c>
      <c r="D34" s="7" t="s">
        <v>239</v>
      </c>
      <c r="E34" s="7" t="s">
        <v>245</v>
      </c>
      <c r="F34" s="7" t="s">
        <v>246</v>
      </c>
      <c r="G34" s="7" t="s">
        <v>247</v>
      </c>
      <c r="H34" s="7"/>
      <c r="I34" s="7"/>
      <c r="J34" s="7" t="s">
        <v>248</v>
      </c>
      <c r="K34" s="7" t="s">
        <v>51</v>
      </c>
      <c r="L34" s="6" t="s">
        <v>67</v>
      </c>
      <c r="M34" s="7"/>
    </row>
    <row r="35" customFormat="false" ht="54" hidden="false" customHeight="true" outlineLevel="0" collapsed="false">
      <c r="A35" s="9" t="n">
        <v>34</v>
      </c>
      <c r="B35" s="10" t="s">
        <v>249</v>
      </c>
      <c r="C35" s="9" t="s">
        <v>44</v>
      </c>
      <c r="D35" s="10" t="s">
        <v>250</v>
      </c>
      <c r="E35" s="10" t="s">
        <v>251</v>
      </c>
      <c r="F35" s="10" t="s">
        <v>252</v>
      </c>
      <c r="G35" s="10" t="s">
        <v>253</v>
      </c>
      <c r="H35" s="10"/>
      <c r="I35" s="10"/>
      <c r="J35" s="10" t="s">
        <v>254</v>
      </c>
      <c r="K35" s="10" t="s">
        <v>125</v>
      </c>
      <c r="L35" s="9" t="s">
        <v>75</v>
      </c>
      <c r="M35" s="10"/>
    </row>
    <row r="36" customFormat="false" ht="54" hidden="false" customHeight="true" outlineLevel="0" collapsed="false">
      <c r="A36" s="6" t="n">
        <v>35</v>
      </c>
      <c r="B36" s="7" t="s">
        <v>255</v>
      </c>
      <c r="C36" s="6" t="s">
        <v>44</v>
      </c>
      <c r="D36" s="7" t="s">
        <v>256</v>
      </c>
      <c r="E36" s="7" t="s">
        <v>257</v>
      </c>
      <c r="F36" s="7" t="s">
        <v>258</v>
      </c>
      <c r="G36" s="7" t="s">
        <v>259</v>
      </c>
      <c r="H36" s="7" t="s">
        <v>260</v>
      </c>
      <c r="I36" s="7"/>
      <c r="J36" s="7" t="s">
        <v>261</v>
      </c>
      <c r="K36" s="7" t="s">
        <v>51</v>
      </c>
      <c r="L36" s="8" t="s">
        <v>52</v>
      </c>
      <c r="M36" s="7"/>
    </row>
    <row r="37" customFormat="false" ht="54" hidden="false" customHeight="true" outlineLevel="0" collapsed="false">
      <c r="A37" s="9" t="n">
        <v>36</v>
      </c>
      <c r="B37" s="10" t="s">
        <v>262</v>
      </c>
      <c r="C37" s="9" t="s">
        <v>44</v>
      </c>
      <c r="D37" s="10" t="s">
        <v>239</v>
      </c>
      <c r="E37" s="10" t="s">
        <v>263</v>
      </c>
      <c r="F37" s="10"/>
      <c r="G37" s="10" t="s">
        <v>264</v>
      </c>
      <c r="H37" s="10" t="s">
        <v>265</v>
      </c>
      <c r="I37" s="10"/>
      <c r="J37" s="10" t="s">
        <v>266</v>
      </c>
      <c r="K37" s="10" t="s">
        <v>51</v>
      </c>
      <c r="L37" s="9" t="s">
        <v>75</v>
      </c>
      <c r="M37" s="10"/>
    </row>
    <row r="38" customFormat="false" ht="54" hidden="false" customHeight="true" outlineLevel="0" collapsed="false">
      <c r="A38" s="6" t="n">
        <v>37</v>
      </c>
      <c r="B38" s="7" t="s">
        <v>267</v>
      </c>
      <c r="C38" s="6" t="s">
        <v>44</v>
      </c>
      <c r="D38" s="7" t="s">
        <v>268</v>
      </c>
      <c r="E38" s="7" t="s">
        <v>269</v>
      </c>
      <c r="F38" s="7" t="s">
        <v>270</v>
      </c>
      <c r="G38" s="7" t="s">
        <v>271</v>
      </c>
      <c r="H38" s="7" t="s">
        <v>272</v>
      </c>
      <c r="I38" s="7"/>
      <c r="J38" s="7" t="s">
        <v>273</v>
      </c>
      <c r="K38" s="7" t="s">
        <v>51</v>
      </c>
      <c r="L38" s="6" t="s">
        <v>67</v>
      </c>
      <c r="M38" s="7"/>
    </row>
    <row r="39" customFormat="false" ht="54" hidden="false" customHeight="true" outlineLevel="0" collapsed="false">
      <c r="A39" s="9" t="n">
        <v>38</v>
      </c>
      <c r="B39" s="10" t="s">
        <v>274</v>
      </c>
      <c r="C39" s="9" t="s">
        <v>44</v>
      </c>
      <c r="D39" s="10" t="s">
        <v>268</v>
      </c>
      <c r="E39" s="10" t="s">
        <v>275</v>
      </c>
      <c r="F39" s="10" t="s">
        <v>276</v>
      </c>
      <c r="G39" s="10" t="s">
        <v>277</v>
      </c>
      <c r="H39" s="10"/>
      <c r="I39" s="10"/>
      <c r="J39" s="10" t="s">
        <v>278</v>
      </c>
      <c r="K39" s="10" t="s">
        <v>51</v>
      </c>
      <c r="L39" s="9" t="s">
        <v>67</v>
      </c>
      <c r="M39" s="10"/>
    </row>
    <row r="40" customFormat="false" ht="54" hidden="false" customHeight="true" outlineLevel="0" collapsed="false">
      <c r="A40" s="6" t="n">
        <v>39</v>
      </c>
      <c r="B40" s="7" t="s">
        <v>279</v>
      </c>
      <c r="C40" s="6" t="s">
        <v>44</v>
      </c>
      <c r="D40" s="7" t="s">
        <v>280</v>
      </c>
      <c r="E40" s="7" t="s">
        <v>281</v>
      </c>
      <c r="F40" s="7" t="s">
        <v>282</v>
      </c>
      <c r="G40" s="7" t="s">
        <v>283</v>
      </c>
      <c r="H40" s="7"/>
      <c r="I40" s="7"/>
      <c r="J40" s="7" t="s">
        <v>284</v>
      </c>
      <c r="K40" s="7" t="s">
        <v>51</v>
      </c>
      <c r="L40" s="8" t="s">
        <v>52</v>
      </c>
      <c r="M40" s="7"/>
    </row>
    <row r="41" customFormat="false" ht="54" hidden="false" customHeight="true" outlineLevel="0" collapsed="false">
      <c r="A41" s="9" t="n">
        <v>40</v>
      </c>
      <c r="B41" s="10" t="s">
        <v>285</v>
      </c>
      <c r="C41" s="9" t="s">
        <v>44</v>
      </c>
      <c r="D41" s="10" t="s">
        <v>268</v>
      </c>
      <c r="E41" s="10" t="s">
        <v>286</v>
      </c>
      <c r="F41" s="10" t="s">
        <v>287</v>
      </c>
      <c r="G41" s="10" t="s">
        <v>288</v>
      </c>
      <c r="H41" s="10"/>
      <c r="I41" s="10"/>
      <c r="J41" s="10" t="s">
        <v>289</v>
      </c>
      <c r="K41" s="10" t="s">
        <v>51</v>
      </c>
      <c r="L41" s="9" t="s">
        <v>67</v>
      </c>
      <c r="M41" s="10"/>
    </row>
    <row r="42" customFormat="false" ht="54" hidden="false" customHeight="true" outlineLevel="0" collapsed="false">
      <c r="A42" s="6" t="n">
        <v>41</v>
      </c>
      <c r="B42" s="7" t="s">
        <v>290</v>
      </c>
      <c r="C42" s="6" t="s">
        <v>44</v>
      </c>
      <c r="D42" s="7" t="s">
        <v>268</v>
      </c>
      <c r="E42" s="7" t="s">
        <v>291</v>
      </c>
      <c r="F42" s="7" t="s">
        <v>292</v>
      </c>
      <c r="G42" s="7" t="s">
        <v>293</v>
      </c>
      <c r="H42" s="7"/>
      <c r="I42" s="7"/>
      <c r="J42" s="7" t="s">
        <v>294</v>
      </c>
      <c r="K42" s="7" t="s">
        <v>51</v>
      </c>
      <c r="L42" s="6" t="s">
        <v>67</v>
      </c>
      <c r="M42" s="7"/>
    </row>
    <row r="43" customFormat="false" ht="54" hidden="false" customHeight="true" outlineLevel="0" collapsed="false">
      <c r="A43" s="9" t="n">
        <v>42</v>
      </c>
      <c r="B43" s="10" t="s">
        <v>295</v>
      </c>
      <c r="C43" s="9" t="s">
        <v>161</v>
      </c>
      <c r="D43" s="10" t="s">
        <v>296</v>
      </c>
      <c r="E43" s="10" t="s">
        <v>297</v>
      </c>
      <c r="F43" s="10" t="s">
        <v>298</v>
      </c>
      <c r="G43" s="10" t="s">
        <v>299</v>
      </c>
      <c r="H43" s="10" t="s">
        <v>300</v>
      </c>
      <c r="I43" s="10"/>
      <c r="J43" s="10" t="s">
        <v>301</v>
      </c>
      <c r="K43" s="10" t="s">
        <v>125</v>
      </c>
      <c r="L43" s="8" t="s">
        <v>52</v>
      </c>
      <c r="M43" s="10"/>
    </row>
    <row r="44" customFormat="false" ht="54" hidden="false" customHeight="true" outlineLevel="0" collapsed="false">
      <c r="A44" s="6" t="n">
        <v>43</v>
      </c>
      <c r="B44" s="7" t="s">
        <v>302</v>
      </c>
      <c r="C44" s="6" t="s">
        <v>44</v>
      </c>
      <c r="D44" s="7" t="s">
        <v>303</v>
      </c>
      <c r="E44" s="7" t="s">
        <v>304</v>
      </c>
      <c r="F44" s="7"/>
      <c r="G44" s="7" t="s">
        <v>305</v>
      </c>
      <c r="H44" s="7"/>
      <c r="I44" s="7"/>
      <c r="J44" s="7" t="s">
        <v>306</v>
      </c>
      <c r="K44" s="7" t="s">
        <v>51</v>
      </c>
      <c r="L44" s="6" t="s">
        <v>75</v>
      </c>
      <c r="M44" s="7"/>
    </row>
    <row r="45" customFormat="false" ht="54" hidden="false" customHeight="true" outlineLevel="0" collapsed="false">
      <c r="A45" s="9" t="n">
        <v>44</v>
      </c>
      <c r="B45" s="10" t="s">
        <v>307</v>
      </c>
      <c r="C45" s="9" t="s">
        <v>308</v>
      </c>
      <c r="D45" s="10" t="s">
        <v>69</v>
      </c>
      <c r="E45" s="10" t="s">
        <v>309</v>
      </c>
      <c r="F45" s="10" t="s">
        <v>310</v>
      </c>
      <c r="G45" s="10" t="s">
        <v>311</v>
      </c>
      <c r="H45" s="10" t="s">
        <v>312</v>
      </c>
      <c r="I45" s="10" t="s">
        <v>307</v>
      </c>
      <c r="J45" s="10" t="s">
        <v>313</v>
      </c>
      <c r="K45" s="10" t="s">
        <v>51</v>
      </c>
      <c r="L45" s="8" t="s">
        <v>52</v>
      </c>
      <c r="M45" s="10"/>
    </row>
    <row r="46" customFormat="false" ht="54" hidden="false" customHeight="true" outlineLevel="0" collapsed="false">
      <c r="A46" s="6" t="n">
        <v>45</v>
      </c>
      <c r="B46" s="7" t="s">
        <v>314</v>
      </c>
      <c r="C46" s="6" t="s">
        <v>308</v>
      </c>
      <c r="D46" s="7" t="s">
        <v>139</v>
      </c>
      <c r="E46" s="7" t="s">
        <v>315</v>
      </c>
      <c r="F46" s="7" t="s">
        <v>316</v>
      </c>
      <c r="G46" s="7" t="s">
        <v>317</v>
      </c>
      <c r="H46" s="7" t="s">
        <v>318</v>
      </c>
      <c r="I46" s="7" t="s">
        <v>314</v>
      </c>
      <c r="J46" s="7" t="s">
        <v>319</v>
      </c>
      <c r="K46" s="7" t="s">
        <v>51</v>
      </c>
      <c r="L46" s="8" t="s">
        <v>52</v>
      </c>
      <c r="M46" s="7"/>
    </row>
    <row r="47" customFormat="false" ht="54" hidden="false" customHeight="true" outlineLevel="0" collapsed="false">
      <c r="A47" s="9" t="n">
        <v>46</v>
      </c>
      <c r="B47" s="10" t="s">
        <v>320</v>
      </c>
      <c r="C47" s="9" t="s">
        <v>308</v>
      </c>
      <c r="D47" s="10" t="s">
        <v>256</v>
      </c>
      <c r="E47" s="10" t="s">
        <v>321</v>
      </c>
      <c r="F47" s="10" t="s">
        <v>322</v>
      </c>
      <c r="G47" s="10" t="s">
        <v>323</v>
      </c>
      <c r="H47" s="10" t="s">
        <v>324</v>
      </c>
      <c r="I47" s="10" t="s">
        <v>320</v>
      </c>
      <c r="J47" s="10" t="s">
        <v>325</v>
      </c>
      <c r="K47" s="10" t="s">
        <v>51</v>
      </c>
      <c r="L47" s="8" t="s">
        <v>52</v>
      </c>
      <c r="M47" s="10"/>
    </row>
    <row r="48" customFormat="false" ht="54" hidden="false" customHeight="true" outlineLevel="0" collapsed="false">
      <c r="A48" s="6" t="n">
        <v>47</v>
      </c>
      <c r="B48" s="7" t="s">
        <v>326</v>
      </c>
      <c r="C48" s="6" t="s">
        <v>308</v>
      </c>
      <c r="D48" s="7" t="s">
        <v>221</v>
      </c>
      <c r="E48" s="7" t="s">
        <v>327</v>
      </c>
      <c r="F48" s="7" t="s">
        <v>328</v>
      </c>
      <c r="G48" s="7" t="s">
        <v>329</v>
      </c>
      <c r="H48" s="7"/>
      <c r="I48" s="7" t="s">
        <v>330</v>
      </c>
      <c r="J48" s="7" t="s">
        <v>331</v>
      </c>
      <c r="K48" s="7" t="s">
        <v>51</v>
      </c>
      <c r="L48" s="8" t="s">
        <v>52</v>
      </c>
      <c r="M48" s="7"/>
    </row>
    <row r="49" customFormat="false" ht="54" hidden="false" customHeight="true" outlineLevel="0" collapsed="false">
      <c r="A49" s="9" t="n">
        <v>48</v>
      </c>
      <c r="B49" s="10" t="s">
        <v>332</v>
      </c>
      <c r="C49" s="9" t="s">
        <v>308</v>
      </c>
      <c r="D49" s="10" t="s">
        <v>333</v>
      </c>
      <c r="E49" s="10" t="s">
        <v>334</v>
      </c>
      <c r="F49" s="10" t="s">
        <v>335</v>
      </c>
      <c r="G49" s="10" t="s">
        <v>336</v>
      </c>
      <c r="H49" s="10" t="s">
        <v>337</v>
      </c>
      <c r="I49" s="10" t="s">
        <v>332</v>
      </c>
      <c r="J49" s="10" t="s">
        <v>338</v>
      </c>
      <c r="K49" s="10" t="s">
        <v>51</v>
      </c>
      <c r="L49" s="9" t="s">
        <v>67</v>
      </c>
      <c r="M49" s="10"/>
    </row>
    <row r="50" customFormat="false" ht="54" hidden="false" customHeight="true" outlineLevel="0" collapsed="false">
      <c r="A50" s="6" t="n">
        <v>49</v>
      </c>
      <c r="B50" s="7" t="s">
        <v>339</v>
      </c>
      <c r="C50" s="6" t="s">
        <v>308</v>
      </c>
      <c r="D50" s="7" t="s">
        <v>340</v>
      </c>
      <c r="E50" s="7" t="s">
        <v>341</v>
      </c>
      <c r="F50" s="7" t="s">
        <v>342</v>
      </c>
      <c r="G50" s="7"/>
      <c r="H50" s="7" t="s">
        <v>343</v>
      </c>
      <c r="I50" s="7" t="s">
        <v>339</v>
      </c>
      <c r="J50" s="7" t="s">
        <v>344</v>
      </c>
      <c r="K50" s="7" t="s">
        <v>51</v>
      </c>
      <c r="L50" s="6" t="s">
        <v>67</v>
      </c>
      <c r="M50" s="7"/>
    </row>
    <row r="51" customFormat="false" ht="54" hidden="false" customHeight="true" outlineLevel="0" collapsed="false">
      <c r="A51" s="9" t="n">
        <v>50</v>
      </c>
      <c r="B51" s="10" t="s">
        <v>345</v>
      </c>
      <c r="C51" s="9" t="s">
        <v>308</v>
      </c>
      <c r="D51" s="10" t="s">
        <v>346</v>
      </c>
      <c r="E51" s="10" t="s">
        <v>347</v>
      </c>
      <c r="F51" s="10" t="s">
        <v>348</v>
      </c>
      <c r="G51" s="10" t="s">
        <v>349</v>
      </c>
      <c r="H51" s="10" t="s">
        <v>350</v>
      </c>
      <c r="I51" s="10" t="s">
        <v>345</v>
      </c>
      <c r="J51" s="10" t="s">
        <v>351</v>
      </c>
      <c r="K51" s="10" t="s">
        <v>51</v>
      </c>
      <c r="L51" s="8" t="s">
        <v>52</v>
      </c>
      <c r="M51" s="10"/>
    </row>
    <row r="52" customFormat="false" ht="54" hidden="false" customHeight="true" outlineLevel="0" collapsed="false">
      <c r="A52" s="6" t="n">
        <v>51</v>
      </c>
      <c r="B52" s="7" t="s">
        <v>352</v>
      </c>
      <c r="C52" s="6" t="s">
        <v>308</v>
      </c>
      <c r="D52" s="7" t="s">
        <v>346</v>
      </c>
      <c r="E52" s="7" t="s">
        <v>353</v>
      </c>
      <c r="F52" s="7"/>
      <c r="G52" s="7" t="s">
        <v>354</v>
      </c>
      <c r="H52" s="7"/>
      <c r="I52" s="7" t="s">
        <v>352</v>
      </c>
      <c r="J52" s="7" t="s">
        <v>355</v>
      </c>
      <c r="K52" s="7" t="s">
        <v>51</v>
      </c>
      <c r="L52" s="6" t="s">
        <v>67</v>
      </c>
      <c r="M52" s="7"/>
    </row>
    <row r="53" customFormat="false" ht="54" hidden="false" customHeight="true" outlineLevel="0" collapsed="false">
      <c r="A53" s="9" t="n">
        <v>52</v>
      </c>
      <c r="B53" s="10" t="s">
        <v>356</v>
      </c>
      <c r="C53" s="9" t="s">
        <v>308</v>
      </c>
      <c r="D53" s="10" t="s">
        <v>340</v>
      </c>
      <c r="E53" s="10" t="s">
        <v>357</v>
      </c>
      <c r="F53" s="10" t="s">
        <v>358</v>
      </c>
      <c r="G53" s="10" t="s">
        <v>359</v>
      </c>
      <c r="H53" s="10"/>
      <c r="I53" s="10" t="s">
        <v>356</v>
      </c>
      <c r="J53" s="10" t="s">
        <v>360</v>
      </c>
      <c r="K53" s="10" t="s">
        <v>51</v>
      </c>
      <c r="L53" s="9" t="s">
        <v>67</v>
      </c>
      <c r="M53" s="10"/>
    </row>
    <row r="54" customFormat="false" ht="54" hidden="false" customHeight="true" outlineLevel="0" collapsed="false">
      <c r="A54" s="6" t="n">
        <v>53</v>
      </c>
      <c r="B54" s="7" t="s">
        <v>361</v>
      </c>
      <c r="C54" s="6" t="s">
        <v>308</v>
      </c>
      <c r="D54" s="7" t="s">
        <v>256</v>
      </c>
      <c r="E54" s="7" t="s">
        <v>362</v>
      </c>
      <c r="F54" s="7"/>
      <c r="G54" s="7"/>
      <c r="H54" s="7"/>
      <c r="I54" s="7" t="s">
        <v>361</v>
      </c>
      <c r="J54" s="7" t="s">
        <v>363</v>
      </c>
      <c r="K54" s="7" t="s">
        <v>51</v>
      </c>
      <c r="L54" s="8" t="s">
        <v>52</v>
      </c>
      <c r="M54" s="7"/>
    </row>
    <row r="55" customFormat="false" ht="54" hidden="false" customHeight="true" outlineLevel="0" collapsed="false">
      <c r="A55" s="9" t="n">
        <v>54</v>
      </c>
      <c r="B55" s="10" t="s">
        <v>364</v>
      </c>
      <c r="C55" s="9" t="s">
        <v>308</v>
      </c>
      <c r="D55" s="10" t="s">
        <v>61</v>
      </c>
      <c r="E55" s="10" t="s">
        <v>365</v>
      </c>
      <c r="F55" s="10" t="s">
        <v>366</v>
      </c>
      <c r="G55" s="10" t="s">
        <v>367</v>
      </c>
      <c r="H55" s="10"/>
      <c r="I55" s="10" t="s">
        <v>364</v>
      </c>
      <c r="J55" s="10" t="s">
        <v>368</v>
      </c>
      <c r="K55" s="10" t="s">
        <v>51</v>
      </c>
      <c r="L55" s="9" t="s">
        <v>67</v>
      </c>
      <c r="M55" s="10"/>
    </row>
    <row r="56" customFormat="false" ht="54" hidden="false" customHeight="true" outlineLevel="0" collapsed="false">
      <c r="A56" s="6" t="n">
        <v>55</v>
      </c>
      <c r="B56" s="7" t="s">
        <v>369</v>
      </c>
      <c r="C56" s="6" t="s">
        <v>308</v>
      </c>
      <c r="D56" s="7" t="s">
        <v>69</v>
      </c>
      <c r="E56" s="7" t="s">
        <v>370</v>
      </c>
      <c r="F56" s="7"/>
      <c r="G56" s="7"/>
      <c r="H56" s="7"/>
      <c r="I56" s="7"/>
      <c r="J56" s="7" t="s">
        <v>371</v>
      </c>
      <c r="K56" s="7" t="s">
        <v>125</v>
      </c>
      <c r="L56" s="6" t="s">
        <v>75</v>
      </c>
      <c r="M56" s="7"/>
    </row>
    <row r="57" customFormat="false" ht="54" hidden="false" customHeight="true" outlineLevel="0" collapsed="false">
      <c r="A57" s="9" t="n">
        <v>56</v>
      </c>
      <c r="B57" s="10" t="s">
        <v>372</v>
      </c>
      <c r="C57" s="9" t="s">
        <v>308</v>
      </c>
      <c r="D57" s="10" t="s">
        <v>373</v>
      </c>
      <c r="E57" s="10" t="s">
        <v>374</v>
      </c>
      <c r="F57" s="10"/>
      <c r="G57" s="10"/>
      <c r="H57" s="10"/>
      <c r="I57" s="10"/>
      <c r="J57" s="10" t="s">
        <v>375</v>
      </c>
      <c r="K57" s="10" t="s">
        <v>125</v>
      </c>
      <c r="L57" s="9" t="s">
        <v>75</v>
      </c>
      <c r="M57" s="10"/>
    </row>
    <row r="58" customFormat="false" ht="54" hidden="false" customHeight="true" outlineLevel="0" collapsed="false">
      <c r="A58" s="6" t="n">
        <v>57</v>
      </c>
      <c r="B58" s="7" t="s">
        <v>376</v>
      </c>
      <c r="C58" s="6" t="s">
        <v>44</v>
      </c>
      <c r="D58" s="7" t="s">
        <v>69</v>
      </c>
      <c r="E58" s="7" t="s">
        <v>377</v>
      </c>
      <c r="F58" s="7" t="s">
        <v>378</v>
      </c>
      <c r="G58" s="7"/>
      <c r="H58" s="7" t="s">
        <v>379</v>
      </c>
      <c r="I58" s="7" t="s">
        <v>380</v>
      </c>
      <c r="J58" s="7" t="s">
        <v>381</v>
      </c>
      <c r="K58" s="7" t="s">
        <v>51</v>
      </c>
      <c r="L58" s="8" t="s">
        <v>52</v>
      </c>
      <c r="M58" s="7"/>
    </row>
    <row r="59" customFormat="false" ht="54" hidden="false" customHeight="true" outlineLevel="0" collapsed="false">
      <c r="A59" s="9" t="n">
        <v>58</v>
      </c>
      <c r="B59" s="10" t="s">
        <v>382</v>
      </c>
      <c r="C59" s="9" t="s">
        <v>44</v>
      </c>
      <c r="D59" s="10" t="s">
        <v>69</v>
      </c>
      <c r="E59" s="10" t="s">
        <v>383</v>
      </c>
      <c r="F59" s="10" t="s">
        <v>384</v>
      </c>
      <c r="G59" s="10"/>
      <c r="H59" s="10" t="s">
        <v>385</v>
      </c>
      <c r="I59" s="10"/>
      <c r="J59" s="10" t="s">
        <v>386</v>
      </c>
      <c r="K59" s="10" t="s">
        <v>51</v>
      </c>
      <c r="L59" s="8" t="s">
        <v>52</v>
      </c>
      <c r="M59" s="10"/>
    </row>
    <row r="60" customFormat="false" ht="54" hidden="false" customHeight="true" outlineLevel="0" collapsed="false">
      <c r="A60" s="6" t="n">
        <v>59</v>
      </c>
      <c r="B60" s="7" t="s">
        <v>387</v>
      </c>
      <c r="C60" s="6" t="s">
        <v>44</v>
      </c>
      <c r="D60" s="7" t="s">
        <v>388</v>
      </c>
      <c r="E60" s="7" t="s">
        <v>389</v>
      </c>
      <c r="F60" s="7" t="s">
        <v>390</v>
      </c>
      <c r="G60" s="7" t="s">
        <v>391</v>
      </c>
      <c r="H60" s="7" t="s">
        <v>392</v>
      </c>
      <c r="I60" s="7"/>
      <c r="J60" s="7" t="s">
        <v>393</v>
      </c>
      <c r="K60" s="7" t="s">
        <v>125</v>
      </c>
      <c r="L60" s="6" t="s">
        <v>67</v>
      </c>
      <c r="M60" s="7"/>
    </row>
    <row r="61" customFormat="false" ht="54" hidden="false" customHeight="true" outlineLevel="0" collapsed="false">
      <c r="A61" s="9" t="n">
        <v>60</v>
      </c>
      <c r="B61" s="10" t="s">
        <v>394</v>
      </c>
      <c r="C61" s="9" t="s">
        <v>44</v>
      </c>
      <c r="D61" s="10" t="s">
        <v>395</v>
      </c>
      <c r="E61" s="10" t="s">
        <v>396</v>
      </c>
      <c r="F61" s="10" t="s">
        <v>397</v>
      </c>
      <c r="G61" s="10" t="s">
        <v>398</v>
      </c>
      <c r="H61" s="10" t="s">
        <v>399</v>
      </c>
      <c r="I61" s="10" t="s">
        <v>400</v>
      </c>
      <c r="J61" s="10" t="s">
        <v>401</v>
      </c>
      <c r="K61" s="10" t="s">
        <v>51</v>
      </c>
      <c r="L61" s="8" t="s">
        <v>52</v>
      </c>
      <c r="M61" s="10"/>
    </row>
    <row r="62" customFormat="false" ht="54" hidden="false" customHeight="true" outlineLevel="0" collapsed="false">
      <c r="A62" s="6" t="n">
        <v>61</v>
      </c>
      <c r="B62" s="7" t="s">
        <v>402</v>
      </c>
      <c r="C62" s="6" t="s">
        <v>44</v>
      </c>
      <c r="D62" s="7" t="s">
        <v>403</v>
      </c>
      <c r="E62" s="7" t="s">
        <v>404</v>
      </c>
      <c r="F62" s="7"/>
      <c r="G62" s="7" t="s">
        <v>405</v>
      </c>
      <c r="H62" s="7" t="s">
        <v>406</v>
      </c>
      <c r="I62" s="7"/>
      <c r="J62" s="7" t="s">
        <v>407</v>
      </c>
      <c r="K62" s="7" t="s">
        <v>51</v>
      </c>
      <c r="L62" s="6" t="s">
        <v>67</v>
      </c>
      <c r="M62" s="7"/>
    </row>
    <row r="63" customFormat="false" ht="54" hidden="false" customHeight="true" outlineLevel="0" collapsed="false">
      <c r="A63" s="9" t="n">
        <v>62</v>
      </c>
      <c r="B63" s="10" t="s">
        <v>408</v>
      </c>
      <c r="C63" s="9" t="s">
        <v>44</v>
      </c>
      <c r="D63" s="10" t="s">
        <v>409</v>
      </c>
      <c r="E63" s="10" t="s">
        <v>410</v>
      </c>
      <c r="F63" s="10"/>
      <c r="G63" s="10"/>
      <c r="H63" s="10" t="s">
        <v>411</v>
      </c>
      <c r="I63" s="10"/>
      <c r="J63" s="10" t="s">
        <v>412</v>
      </c>
      <c r="K63" s="10" t="s">
        <v>125</v>
      </c>
      <c r="L63" s="9" t="s">
        <v>75</v>
      </c>
      <c r="M63" s="10"/>
    </row>
    <row r="64" customFormat="false" ht="54" hidden="false" customHeight="true" outlineLevel="0" collapsed="false">
      <c r="A64" s="6" t="n">
        <v>63</v>
      </c>
      <c r="B64" s="7" t="s">
        <v>413</v>
      </c>
      <c r="C64" s="6" t="s">
        <v>44</v>
      </c>
      <c r="D64" s="7" t="s">
        <v>414</v>
      </c>
      <c r="E64" s="7" t="s">
        <v>415</v>
      </c>
      <c r="F64" s="7" t="s">
        <v>416</v>
      </c>
      <c r="G64" s="7" t="s">
        <v>417</v>
      </c>
      <c r="H64" s="7" t="s">
        <v>418</v>
      </c>
      <c r="I64" s="7"/>
      <c r="J64" s="7" t="s">
        <v>419</v>
      </c>
      <c r="K64" s="7" t="s">
        <v>51</v>
      </c>
      <c r="L64" s="6" t="s">
        <v>67</v>
      </c>
      <c r="M64" s="7"/>
    </row>
    <row r="65" customFormat="false" ht="54" hidden="false" customHeight="true" outlineLevel="0" collapsed="false">
      <c r="A65" s="9" t="n">
        <v>64</v>
      </c>
      <c r="B65" s="10" t="s">
        <v>420</v>
      </c>
      <c r="C65" s="9" t="s">
        <v>44</v>
      </c>
      <c r="D65" s="10" t="s">
        <v>421</v>
      </c>
      <c r="E65" s="10" t="s">
        <v>422</v>
      </c>
      <c r="F65" s="10"/>
      <c r="G65" s="10" t="s">
        <v>423</v>
      </c>
      <c r="H65" s="10"/>
      <c r="I65" s="10"/>
      <c r="J65" s="10" t="s">
        <v>424</v>
      </c>
      <c r="K65" s="10" t="s">
        <v>125</v>
      </c>
      <c r="L65" s="9" t="s">
        <v>75</v>
      </c>
      <c r="M65" s="10"/>
    </row>
    <row r="66" customFormat="false" ht="54" hidden="false" customHeight="true" outlineLevel="0" collapsed="false">
      <c r="A66" s="6" t="n">
        <v>65</v>
      </c>
      <c r="B66" s="7" t="s">
        <v>425</v>
      </c>
      <c r="C66" s="6" t="s">
        <v>44</v>
      </c>
      <c r="D66" s="7" t="s">
        <v>426</v>
      </c>
      <c r="E66" s="7" t="s">
        <v>427</v>
      </c>
      <c r="F66" s="7" t="s">
        <v>428</v>
      </c>
      <c r="G66" s="7"/>
      <c r="H66" s="7"/>
      <c r="I66" s="7"/>
      <c r="J66" s="7" t="s">
        <v>429</v>
      </c>
      <c r="K66" s="7" t="s">
        <v>125</v>
      </c>
      <c r="L66" s="6" t="s">
        <v>67</v>
      </c>
      <c r="M66" s="7"/>
    </row>
    <row r="67" customFormat="false" ht="54" hidden="false" customHeight="true" outlineLevel="0" collapsed="false">
      <c r="A67" s="9" t="n">
        <v>66</v>
      </c>
      <c r="B67" s="10" t="s">
        <v>430</v>
      </c>
      <c r="C67" s="9" t="s">
        <v>44</v>
      </c>
      <c r="D67" s="10" t="s">
        <v>69</v>
      </c>
      <c r="E67" s="10" t="s">
        <v>431</v>
      </c>
      <c r="F67" s="10" t="s">
        <v>432</v>
      </c>
      <c r="G67" s="10" t="s">
        <v>433</v>
      </c>
      <c r="H67" s="10"/>
      <c r="I67" s="10" t="s">
        <v>434</v>
      </c>
      <c r="J67" s="10" t="s">
        <v>435</v>
      </c>
      <c r="K67" s="10" t="s">
        <v>51</v>
      </c>
      <c r="L67" s="8" t="s">
        <v>52</v>
      </c>
      <c r="M67" s="10"/>
    </row>
    <row r="68" customFormat="false" ht="54" hidden="false" customHeight="true" outlineLevel="0" collapsed="false">
      <c r="A68" s="6" t="n">
        <v>67</v>
      </c>
      <c r="B68" s="7" t="s">
        <v>436</v>
      </c>
      <c r="C68" s="6" t="s">
        <v>44</v>
      </c>
      <c r="D68" s="7" t="s">
        <v>437</v>
      </c>
      <c r="E68" s="7" t="s">
        <v>438</v>
      </c>
      <c r="F68" s="7" t="s">
        <v>439</v>
      </c>
      <c r="G68" s="7" t="s">
        <v>440</v>
      </c>
      <c r="H68" s="7"/>
      <c r="I68" s="7"/>
      <c r="J68" s="7" t="s">
        <v>441</v>
      </c>
      <c r="K68" s="7" t="s">
        <v>51</v>
      </c>
      <c r="L68" s="8" t="s">
        <v>52</v>
      </c>
      <c r="M68" s="7"/>
    </row>
    <row r="69" customFormat="false" ht="54" hidden="false" customHeight="true" outlineLevel="0" collapsed="false">
      <c r="A69" s="9" t="n">
        <v>68</v>
      </c>
      <c r="B69" s="10" t="s">
        <v>442</v>
      </c>
      <c r="C69" s="9" t="s">
        <v>44</v>
      </c>
      <c r="D69" s="10" t="s">
        <v>443</v>
      </c>
      <c r="E69" s="10" t="s">
        <v>444</v>
      </c>
      <c r="F69" s="10" t="s">
        <v>445</v>
      </c>
      <c r="G69" s="10" t="s">
        <v>446</v>
      </c>
      <c r="H69" s="10"/>
      <c r="I69" s="10"/>
      <c r="J69" s="10" t="s">
        <v>447</v>
      </c>
      <c r="K69" s="10" t="s">
        <v>51</v>
      </c>
      <c r="L69" s="9" t="s">
        <v>67</v>
      </c>
      <c r="M69" s="10"/>
    </row>
    <row r="70" customFormat="false" ht="54" hidden="false" customHeight="true" outlineLevel="0" collapsed="false">
      <c r="A70" s="6" t="n">
        <v>69</v>
      </c>
      <c r="B70" s="7" t="s">
        <v>448</v>
      </c>
      <c r="C70" s="6" t="s">
        <v>44</v>
      </c>
      <c r="D70" s="7" t="s">
        <v>449</v>
      </c>
      <c r="E70" s="7" t="s">
        <v>450</v>
      </c>
      <c r="F70" s="7" t="s">
        <v>451</v>
      </c>
      <c r="G70" s="7" t="s">
        <v>452</v>
      </c>
      <c r="H70" s="7" t="s">
        <v>453</v>
      </c>
      <c r="I70" s="7" t="s">
        <v>454</v>
      </c>
      <c r="J70" s="7" t="s">
        <v>455</v>
      </c>
      <c r="K70" s="7" t="s">
        <v>51</v>
      </c>
      <c r="L70" s="8" t="s">
        <v>52</v>
      </c>
      <c r="M70" s="7"/>
    </row>
    <row r="71" customFormat="false" ht="54" hidden="false" customHeight="true" outlineLevel="0" collapsed="false">
      <c r="A71" s="9" t="n">
        <v>70</v>
      </c>
      <c r="B71" s="10" t="s">
        <v>456</v>
      </c>
      <c r="C71" s="9" t="s">
        <v>44</v>
      </c>
      <c r="D71" s="10" t="s">
        <v>449</v>
      </c>
      <c r="E71" s="10" t="s">
        <v>457</v>
      </c>
      <c r="F71" s="10" t="s">
        <v>458</v>
      </c>
      <c r="G71" s="10" t="s">
        <v>459</v>
      </c>
      <c r="H71" s="10"/>
      <c r="I71" s="10"/>
      <c r="J71" s="10" t="s">
        <v>460</v>
      </c>
      <c r="K71" s="10" t="s">
        <v>51</v>
      </c>
      <c r="L71" s="8" t="s">
        <v>52</v>
      </c>
      <c r="M71" s="10"/>
    </row>
    <row r="72" customFormat="false" ht="54" hidden="false" customHeight="true" outlineLevel="0" collapsed="false">
      <c r="A72" s="6" t="n">
        <v>71</v>
      </c>
      <c r="B72" s="7" t="s">
        <v>461</v>
      </c>
      <c r="C72" s="6" t="s">
        <v>44</v>
      </c>
      <c r="D72" s="7" t="s">
        <v>462</v>
      </c>
      <c r="E72" s="7" t="s">
        <v>463</v>
      </c>
      <c r="F72" s="7" t="s">
        <v>464</v>
      </c>
      <c r="G72" s="7" t="s">
        <v>465</v>
      </c>
      <c r="H72" s="7"/>
      <c r="I72" s="7"/>
      <c r="J72" s="7" t="s">
        <v>466</v>
      </c>
      <c r="K72" s="7" t="s">
        <v>51</v>
      </c>
      <c r="L72" s="6" t="s">
        <v>67</v>
      </c>
      <c r="M72" s="7"/>
    </row>
    <row r="73" customFormat="false" ht="54" hidden="false" customHeight="true" outlineLevel="0" collapsed="false">
      <c r="A73" s="9" t="n">
        <v>72</v>
      </c>
      <c r="B73" s="10" t="s">
        <v>467</v>
      </c>
      <c r="C73" s="9" t="s">
        <v>44</v>
      </c>
      <c r="D73" s="10" t="s">
        <v>468</v>
      </c>
      <c r="E73" s="10" t="s">
        <v>469</v>
      </c>
      <c r="F73" s="10" t="s">
        <v>470</v>
      </c>
      <c r="G73" s="10" t="s">
        <v>471</v>
      </c>
      <c r="H73" s="10"/>
      <c r="I73" s="10"/>
      <c r="J73" s="10" t="s">
        <v>472</v>
      </c>
      <c r="K73" s="10" t="s">
        <v>51</v>
      </c>
      <c r="L73" s="8" t="s">
        <v>52</v>
      </c>
      <c r="M73" s="10"/>
    </row>
    <row r="74" customFormat="false" ht="54" hidden="false" customHeight="true" outlineLevel="0" collapsed="false">
      <c r="A74" s="6" t="n">
        <v>73</v>
      </c>
      <c r="B74" s="7" t="s">
        <v>473</v>
      </c>
      <c r="C74" s="6" t="s">
        <v>44</v>
      </c>
      <c r="D74" s="7" t="s">
        <v>474</v>
      </c>
      <c r="E74" s="7" t="s">
        <v>475</v>
      </c>
      <c r="F74" s="7" t="s">
        <v>476</v>
      </c>
      <c r="G74" s="7" t="s">
        <v>477</v>
      </c>
      <c r="H74" s="7"/>
      <c r="I74" s="7"/>
      <c r="J74" s="7" t="s">
        <v>478</v>
      </c>
      <c r="K74" s="7" t="s">
        <v>51</v>
      </c>
      <c r="L74" s="6" t="s">
        <v>67</v>
      </c>
      <c r="M74" s="7"/>
    </row>
    <row r="75" customFormat="false" ht="54" hidden="false" customHeight="true" outlineLevel="0" collapsed="false">
      <c r="A75" s="9" t="n">
        <v>74</v>
      </c>
      <c r="B75" s="10" t="s">
        <v>479</v>
      </c>
      <c r="C75" s="9" t="s">
        <v>44</v>
      </c>
      <c r="D75" s="10" t="s">
        <v>480</v>
      </c>
      <c r="E75" s="10" t="s">
        <v>481</v>
      </c>
      <c r="F75" s="10" t="s">
        <v>482</v>
      </c>
      <c r="G75" s="10" t="s">
        <v>483</v>
      </c>
      <c r="H75" s="10" t="s">
        <v>484</v>
      </c>
      <c r="I75" s="10"/>
      <c r="J75" s="10" t="s">
        <v>485</v>
      </c>
      <c r="K75" s="10" t="s">
        <v>51</v>
      </c>
      <c r="L75" s="8" t="s">
        <v>52</v>
      </c>
      <c r="M75" s="10"/>
    </row>
    <row r="76" customFormat="false" ht="54" hidden="false" customHeight="true" outlineLevel="0" collapsed="false">
      <c r="A76" s="6" t="n">
        <v>75</v>
      </c>
      <c r="B76" s="7" t="s">
        <v>486</v>
      </c>
      <c r="C76" s="6" t="s">
        <v>44</v>
      </c>
      <c r="D76" s="7" t="s">
        <v>487</v>
      </c>
      <c r="E76" s="7" t="s">
        <v>488</v>
      </c>
      <c r="F76" s="7" t="s">
        <v>489</v>
      </c>
      <c r="G76" s="7" t="s">
        <v>490</v>
      </c>
      <c r="H76" s="7"/>
      <c r="I76" s="7"/>
      <c r="J76" s="7" t="s">
        <v>491</v>
      </c>
      <c r="K76" s="7" t="s">
        <v>51</v>
      </c>
      <c r="L76" s="8" t="s">
        <v>52</v>
      </c>
      <c r="M76" s="7"/>
    </row>
    <row r="77" customFormat="false" ht="54" hidden="false" customHeight="true" outlineLevel="0" collapsed="false">
      <c r="A77" s="9" t="n">
        <v>76</v>
      </c>
      <c r="B77" s="10" t="s">
        <v>492</v>
      </c>
      <c r="C77" s="9" t="s">
        <v>44</v>
      </c>
      <c r="D77" s="10" t="s">
        <v>493</v>
      </c>
      <c r="E77" s="10" t="s">
        <v>494</v>
      </c>
      <c r="F77" s="10" t="s">
        <v>495</v>
      </c>
      <c r="G77" s="10" t="s">
        <v>496</v>
      </c>
      <c r="H77" s="10"/>
      <c r="I77" s="10"/>
      <c r="J77" s="10" t="s">
        <v>497</v>
      </c>
      <c r="K77" s="10" t="s">
        <v>51</v>
      </c>
      <c r="L77" s="9" t="s">
        <v>67</v>
      </c>
      <c r="M77" s="10"/>
    </row>
    <row r="78" customFormat="false" ht="54" hidden="false" customHeight="true" outlineLevel="0" collapsed="false">
      <c r="A78" s="6" t="n">
        <v>77</v>
      </c>
      <c r="B78" s="7" t="s">
        <v>498</v>
      </c>
      <c r="C78" s="6" t="s">
        <v>44</v>
      </c>
      <c r="D78" s="7" t="s">
        <v>499</v>
      </c>
      <c r="E78" s="7" t="s">
        <v>500</v>
      </c>
      <c r="F78" s="7" t="s">
        <v>501</v>
      </c>
      <c r="G78" s="7" t="s">
        <v>502</v>
      </c>
      <c r="H78" s="7"/>
      <c r="I78" s="7"/>
      <c r="J78" s="7" t="s">
        <v>503</v>
      </c>
      <c r="K78" s="7" t="s">
        <v>51</v>
      </c>
      <c r="L78" s="8" t="s">
        <v>52</v>
      </c>
      <c r="M78" s="7"/>
    </row>
    <row r="79" customFormat="false" ht="54" hidden="false" customHeight="true" outlineLevel="0" collapsed="false">
      <c r="A79" s="9" t="n">
        <v>78</v>
      </c>
      <c r="B79" s="10" t="s">
        <v>504</v>
      </c>
      <c r="C79" s="9" t="s">
        <v>44</v>
      </c>
      <c r="D79" s="10" t="s">
        <v>493</v>
      </c>
      <c r="E79" s="10" t="s">
        <v>505</v>
      </c>
      <c r="F79" s="10" t="s">
        <v>506</v>
      </c>
      <c r="G79" s="10" t="s">
        <v>507</v>
      </c>
      <c r="H79" s="10"/>
      <c r="I79" s="10"/>
      <c r="J79" s="10" t="s">
        <v>508</v>
      </c>
      <c r="K79" s="10" t="s">
        <v>51</v>
      </c>
      <c r="L79" s="9" t="s">
        <v>67</v>
      </c>
      <c r="M79" s="10"/>
    </row>
    <row r="80" customFormat="false" ht="54" hidden="false" customHeight="true" outlineLevel="0" collapsed="false">
      <c r="A80" s="6" t="n">
        <v>79</v>
      </c>
      <c r="B80" s="7" t="s">
        <v>509</v>
      </c>
      <c r="C80" s="6" t="s">
        <v>44</v>
      </c>
      <c r="D80" s="7" t="s">
        <v>493</v>
      </c>
      <c r="E80" s="7" t="s">
        <v>510</v>
      </c>
      <c r="F80" s="7"/>
      <c r="G80" s="7" t="s">
        <v>511</v>
      </c>
      <c r="H80" s="7" t="s">
        <v>512</v>
      </c>
      <c r="I80" s="7"/>
      <c r="J80" s="7" t="s">
        <v>513</v>
      </c>
      <c r="K80" s="7" t="s">
        <v>51</v>
      </c>
      <c r="L80" s="6" t="s">
        <v>67</v>
      </c>
      <c r="M80" s="7"/>
    </row>
    <row r="81" customFormat="false" ht="54" hidden="false" customHeight="true" outlineLevel="0" collapsed="false">
      <c r="A81" s="9" t="n">
        <v>80</v>
      </c>
      <c r="B81" s="10" t="s">
        <v>514</v>
      </c>
      <c r="C81" s="9" t="s">
        <v>44</v>
      </c>
      <c r="D81" s="10" t="s">
        <v>250</v>
      </c>
      <c r="E81" s="10" t="s">
        <v>515</v>
      </c>
      <c r="F81" s="10" t="s">
        <v>516</v>
      </c>
      <c r="G81" s="10" t="s">
        <v>517</v>
      </c>
      <c r="H81" s="10" t="s">
        <v>518</v>
      </c>
      <c r="I81" s="10"/>
      <c r="J81" s="10" t="s">
        <v>519</v>
      </c>
      <c r="K81" s="10" t="s">
        <v>51</v>
      </c>
      <c r="L81" s="9" t="s">
        <v>67</v>
      </c>
      <c r="M81" s="10"/>
    </row>
    <row r="82" customFormat="false" ht="54" hidden="false" customHeight="true" outlineLevel="0" collapsed="false">
      <c r="A82" s="6" t="n">
        <v>81</v>
      </c>
      <c r="B82" s="7" t="s">
        <v>520</v>
      </c>
      <c r="C82" s="6" t="s">
        <v>44</v>
      </c>
      <c r="D82" s="7" t="s">
        <v>521</v>
      </c>
      <c r="E82" s="7" t="s">
        <v>522</v>
      </c>
      <c r="F82" s="7" t="s">
        <v>523</v>
      </c>
      <c r="G82" s="7" t="s">
        <v>524</v>
      </c>
      <c r="H82" s="7"/>
      <c r="I82" s="7"/>
      <c r="J82" s="7" t="s">
        <v>525</v>
      </c>
      <c r="K82" s="7" t="s">
        <v>51</v>
      </c>
      <c r="L82" s="8" t="s">
        <v>52</v>
      </c>
      <c r="M82" s="7"/>
    </row>
    <row r="83" customFormat="false" ht="54" hidden="false" customHeight="true" outlineLevel="0" collapsed="false">
      <c r="A83" s="9" t="n">
        <v>82</v>
      </c>
      <c r="B83" s="10" t="s">
        <v>526</v>
      </c>
      <c r="C83" s="9" t="s">
        <v>44</v>
      </c>
      <c r="D83" s="10" t="s">
        <v>527</v>
      </c>
      <c r="E83" s="10" t="s">
        <v>528</v>
      </c>
      <c r="F83" s="10" t="s">
        <v>529</v>
      </c>
      <c r="G83" s="10" t="s">
        <v>530</v>
      </c>
      <c r="H83" s="10"/>
      <c r="I83" s="10"/>
      <c r="J83" s="10" t="s">
        <v>531</v>
      </c>
      <c r="K83" s="10" t="s">
        <v>51</v>
      </c>
      <c r="L83" s="9" t="s">
        <v>67</v>
      </c>
      <c r="M83" s="10"/>
    </row>
    <row r="84" customFormat="false" ht="54" hidden="false" customHeight="true" outlineLevel="0" collapsed="false">
      <c r="A84" s="6" t="n">
        <v>83</v>
      </c>
      <c r="B84" s="7" t="s">
        <v>532</v>
      </c>
      <c r="C84" s="6" t="s">
        <v>44</v>
      </c>
      <c r="D84" s="7" t="s">
        <v>533</v>
      </c>
      <c r="E84" s="7" t="s">
        <v>534</v>
      </c>
      <c r="F84" s="7" t="s">
        <v>535</v>
      </c>
      <c r="G84" s="7" t="s">
        <v>536</v>
      </c>
      <c r="H84" s="7"/>
      <c r="I84" s="7"/>
      <c r="J84" s="7" t="s">
        <v>537</v>
      </c>
      <c r="K84" s="7" t="s">
        <v>125</v>
      </c>
      <c r="L84" s="6" t="s">
        <v>67</v>
      </c>
      <c r="M84" s="7"/>
    </row>
    <row r="85" customFormat="false" ht="54" hidden="false" customHeight="true" outlineLevel="0" collapsed="false">
      <c r="A85" s="9" t="n">
        <v>84</v>
      </c>
      <c r="B85" s="10" t="s">
        <v>538</v>
      </c>
      <c r="C85" s="9" t="s">
        <v>44</v>
      </c>
      <c r="D85" s="10" t="s">
        <v>539</v>
      </c>
      <c r="E85" s="10" t="s">
        <v>540</v>
      </c>
      <c r="F85" s="10" t="s">
        <v>541</v>
      </c>
      <c r="G85" s="10" t="s">
        <v>542</v>
      </c>
      <c r="H85" s="10"/>
      <c r="I85" s="10"/>
      <c r="J85" s="10" t="s">
        <v>543</v>
      </c>
      <c r="K85" s="10" t="s">
        <v>51</v>
      </c>
      <c r="L85" s="9" t="s">
        <v>67</v>
      </c>
      <c r="M85" s="10"/>
    </row>
    <row r="86" customFormat="false" ht="54" hidden="false" customHeight="true" outlineLevel="0" collapsed="false">
      <c r="A86" s="6" t="n">
        <v>85</v>
      </c>
      <c r="B86" s="7" t="s">
        <v>544</v>
      </c>
      <c r="C86" s="6" t="s">
        <v>44</v>
      </c>
      <c r="D86" s="7" t="s">
        <v>545</v>
      </c>
      <c r="E86" s="7" t="s">
        <v>546</v>
      </c>
      <c r="F86" s="7" t="s">
        <v>547</v>
      </c>
      <c r="G86" s="7" t="s">
        <v>548</v>
      </c>
      <c r="H86" s="7" t="s">
        <v>549</v>
      </c>
      <c r="I86" s="7"/>
      <c r="J86" s="7" t="s">
        <v>550</v>
      </c>
      <c r="K86" s="7" t="s">
        <v>125</v>
      </c>
      <c r="L86" s="6" t="s">
        <v>67</v>
      </c>
      <c r="M86" s="7"/>
    </row>
    <row r="87" customFormat="false" ht="54" hidden="false" customHeight="true" outlineLevel="0" collapsed="false">
      <c r="A87" s="9" t="n">
        <v>86</v>
      </c>
      <c r="B87" s="10" t="s">
        <v>551</v>
      </c>
      <c r="C87" s="9" t="s">
        <v>308</v>
      </c>
      <c r="D87" s="10" t="s">
        <v>552</v>
      </c>
      <c r="E87" s="10" t="s">
        <v>553</v>
      </c>
      <c r="F87" s="10"/>
      <c r="G87" s="10" t="s">
        <v>554</v>
      </c>
      <c r="H87" s="10" t="s">
        <v>555</v>
      </c>
      <c r="I87" s="10" t="s">
        <v>556</v>
      </c>
      <c r="J87" s="10" t="s">
        <v>557</v>
      </c>
      <c r="K87" s="10" t="s">
        <v>51</v>
      </c>
      <c r="L87" s="8" t="s">
        <v>52</v>
      </c>
      <c r="M87" s="10"/>
    </row>
    <row r="88" customFormat="false" ht="54" hidden="false" customHeight="true" outlineLevel="0" collapsed="false">
      <c r="A88" s="6" t="n">
        <v>87</v>
      </c>
      <c r="B88" s="7" t="s">
        <v>558</v>
      </c>
      <c r="C88" s="6" t="s">
        <v>44</v>
      </c>
      <c r="D88" s="7" t="s">
        <v>559</v>
      </c>
      <c r="E88" s="7" t="s">
        <v>560</v>
      </c>
      <c r="F88" s="7"/>
      <c r="G88" s="7" t="s">
        <v>561</v>
      </c>
      <c r="H88" s="7" t="s">
        <v>562</v>
      </c>
      <c r="I88" s="7"/>
      <c r="J88" s="7" t="s">
        <v>563</v>
      </c>
      <c r="K88" s="7" t="s">
        <v>51</v>
      </c>
      <c r="L88" s="6" t="s">
        <v>67</v>
      </c>
      <c r="M88" s="7"/>
    </row>
    <row r="89" customFormat="false" ht="54" hidden="false" customHeight="true" outlineLevel="0" collapsed="false">
      <c r="A89" s="9" t="n">
        <v>88</v>
      </c>
      <c r="B89" s="10" t="s">
        <v>564</v>
      </c>
      <c r="C89" s="9" t="s">
        <v>44</v>
      </c>
      <c r="D89" s="10" t="s">
        <v>559</v>
      </c>
      <c r="E89" s="10" t="s">
        <v>565</v>
      </c>
      <c r="F89" s="10" t="s">
        <v>566</v>
      </c>
      <c r="G89" s="10" t="s">
        <v>567</v>
      </c>
      <c r="H89" s="10"/>
      <c r="I89" s="10"/>
      <c r="J89" s="10" t="s">
        <v>568</v>
      </c>
      <c r="K89" s="10" t="s">
        <v>51</v>
      </c>
      <c r="L89" s="9" t="s">
        <v>67</v>
      </c>
      <c r="M89" s="10"/>
    </row>
    <row r="90" customFormat="false" ht="54" hidden="false" customHeight="true" outlineLevel="0" collapsed="false">
      <c r="A90" s="6" t="n">
        <v>89</v>
      </c>
      <c r="B90" s="7" t="s">
        <v>569</v>
      </c>
      <c r="C90" s="6" t="s">
        <v>44</v>
      </c>
      <c r="D90" s="7" t="s">
        <v>559</v>
      </c>
      <c r="E90" s="7" t="s">
        <v>570</v>
      </c>
      <c r="F90" s="7" t="s">
        <v>571</v>
      </c>
      <c r="G90" s="7" t="s">
        <v>572</v>
      </c>
      <c r="H90" s="7" t="s">
        <v>573</v>
      </c>
      <c r="I90" s="7"/>
      <c r="J90" s="7" t="s">
        <v>574</v>
      </c>
      <c r="K90" s="7" t="s">
        <v>51</v>
      </c>
      <c r="L90" s="6" t="s">
        <v>67</v>
      </c>
      <c r="M90" s="7"/>
    </row>
    <row r="91" customFormat="false" ht="54" hidden="false" customHeight="true" outlineLevel="0" collapsed="false">
      <c r="A91" s="9" t="n">
        <v>90</v>
      </c>
      <c r="B91" s="10" t="s">
        <v>575</v>
      </c>
      <c r="C91" s="9" t="s">
        <v>44</v>
      </c>
      <c r="D91" s="10" t="s">
        <v>576</v>
      </c>
      <c r="E91" s="10" t="s">
        <v>577</v>
      </c>
      <c r="F91" s="10" t="s">
        <v>578</v>
      </c>
      <c r="G91" s="10" t="s">
        <v>579</v>
      </c>
      <c r="H91" s="10" t="s">
        <v>580</v>
      </c>
      <c r="I91" s="10"/>
      <c r="J91" s="10" t="s">
        <v>581</v>
      </c>
      <c r="K91" s="10" t="s">
        <v>51</v>
      </c>
      <c r="L91" s="8" t="s">
        <v>52</v>
      </c>
      <c r="M91" s="10"/>
    </row>
    <row r="92" customFormat="false" ht="54" hidden="false" customHeight="true" outlineLevel="0" collapsed="false">
      <c r="A92" s="6" t="n">
        <v>91</v>
      </c>
      <c r="B92" s="7" t="s">
        <v>582</v>
      </c>
      <c r="C92" s="6" t="s">
        <v>44</v>
      </c>
      <c r="D92" s="7" t="s">
        <v>583</v>
      </c>
      <c r="E92" s="7" t="s">
        <v>584</v>
      </c>
      <c r="F92" s="7"/>
      <c r="G92" s="7" t="s">
        <v>585</v>
      </c>
      <c r="H92" s="7" t="s">
        <v>586</v>
      </c>
      <c r="I92" s="7"/>
      <c r="J92" s="7" t="s">
        <v>587</v>
      </c>
      <c r="K92" s="7" t="s">
        <v>51</v>
      </c>
      <c r="L92" s="6" t="s">
        <v>67</v>
      </c>
      <c r="M92" s="7"/>
    </row>
    <row r="93" customFormat="false" ht="54" hidden="false" customHeight="true" outlineLevel="0" collapsed="false">
      <c r="A93" s="9" t="n">
        <v>92</v>
      </c>
      <c r="B93" s="10" t="s">
        <v>588</v>
      </c>
      <c r="C93" s="9" t="s">
        <v>308</v>
      </c>
      <c r="D93" s="10" t="s">
        <v>340</v>
      </c>
      <c r="E93" s="10" t="s">
        <v>589</v>
      </c>
      <c r="F93" s="10"/>
      <c r="G93" s="10" t="s">
        <v>590</v>
      </c>
      <c r="H93" s="10" t="s">
        <v>591</v>
      </c>
      <c r="I93" s="10" t="s">
        <v>592</v>
      </c>
      <c r="J93" s="10" t="s">
        <v>593</v>
      </c>
      <c r="K93" s="10" t="s">
        <v>51</v>
      </c>
      <c r="L93" s="9" t="s">
        <v>67</v>
      </c>
      <c r="M93" s="10"/>
    </row>
    <row r="94" customFormat="false" ht="54" hidden="false" customHeight="true" outlineLevel="0" collapsed="false">
      <c r="A94" s="6" t="n">
        <v>93</v>
      </c>
      <c r="B94" s="7" t="s">
        <v>594</v>
      </c>
      <c r="C94" s="6" t="s">
        <v>308</v>
      </c>
      <c r="D94" s="7" t="s">
        <v>595</v>
      </c>
      <c r="E94" s="7" t="s">
        <v>596</v>
      </c>
      <c r="F94" s="7" t="s">
        <v>597</v>
      </c>
      <c r="G94" s="7" t="s">
        <v>598</v>
      </c>
      <c r="H94" s="7" t="s">
        <v>599</v>
      </c>
      <c r="I94" s="7" t="s">
        <v>594</v>
      </c>
      <c r="J94" s="7" t="s">
        <v>600</v>
      </c>
      <c r="K94" s="7" t="s">
        <v>51</v>
      </c>
      <c r="L94" s="8" t="s">
        <v>52</v>
      </c>
      <c r="M94" s="7"/>
    </row>
    <row r="95" customFormat="false" ht="54" hidden="false" customHeight="true" outlineLevel="0" collapsed="false">
      <c r="A95" s="9" t="n">
        <v>94</v>
      </c>
      <c r="B95" s="10" t="s">
        <v>601</v>
      </c>
      <c r="C95" s="9" t="s">
        <v>308</v>
      </c>
      <c r="D95" s="10" t="s">
        <v>340</v>
      </c>
      <c r="E95" s="10" t="s">
        <v>602</v>
      </c>
      <c r="F95" s="10" t="s">
        <v>603</v>
      </c>
      <c r="G95" s="10" t="s">
        <v>604</v>
      </c>
      <c r="H95" s="10"/>
      <c r="I95" s="10"/>
      <c r="J95" s="10" t="s">
        <v>605</v>
      </c>
      <c r="K95" s="10" t="s">
        <v>51</v>
      </c>
      <c r="L95" s="9" t="s">
        <v>67</v>
      </c>
      <c r="M95" s="10"/>
    </row>
    <row r="96" customFormat="false" ht="54" hidden="false" customHeight="true" outlineLevel="0" collapsed="false">
      <c r="A96" s="6" t="n">
        <v>95</v>
      </c>
      <c r="B96" s="7" t="s">
        <v>606</v>
      </c>
      <c r="C96" s="6" t="s">
        <v>44</v>
      </c>
      <c r="D96" s="7" t="s">
        <v>576</v>
      </c>
      <c r="E96" s="7" t="s">
        <v>607</v>
      </c>
      <c r="F96" s="7" t="s">
        <v>608</v>
      </c>
      <c r="G96" s="7" t="s">
        <v>609</v>
      </c>
      <c r="H96" s="7"/>
      <c r="I96" s="7"/>
      <c r="J96" s="7" t="s">
        <v>610</v>
      </c>
      <c r="K96" s="7" t="s">
        <v>51</v>
      </c>
      <c r="L96" s="6" t="s">
        <v>67</v>
      </c>
      <c r="M96" s="7"/>
    </row>
    <row r="97" customFormat="false" ht="54" hidden="false" customHeight="true" outlineLevel="0" collapsed="false">
      <c r="A97" s="9" t="n">
        <v>96</v>
      </c>
      <c r="B97" s="10" t="s">
        <v>611</v>
      </c>
      <c r="C97" s="9" t="s">
        <v>44</v>
      </c>
      <c r="D97" s="10" t="s">
        <v>612</v>
      </c>
      <c r="E97" s="10" t="s">
        <v>613</v>
      </c>
      <c r="F97" s="10" t="s">
        <v>614</v>
      </c>
      <c r="G97" s="10" t="s">
        <v>615</v>
      </c>
      <c r="H97" s="10" t="s">
        <v>616</v>
      </c>
      <c r="I97" s="10"/>
      <c r="J97" s="10" t="s">
        <v>617</v>
      </c>
      <c r="K97" s="10" t="s">
        <v>125</v>
      </c>
      <c r="L97" s="9" t="s">
        <v>67</v>
      </c>
      <c r="M97" s="10"/>
    </row>
    <row r="98" customFormat="false" ht="54" hidden="false" customHeight="true" outlineLevel="0" collapsed="false">
      <c r="A98" s="6" t="n">
        <v>97</v>
      </c>
      <c r="B98" s="7" t="s">
        <v>618</v>
      </c>
      <c r="C98" s="6" t="s">
        <v>44</v>
      </c>
      <c r="D98" s="7" t="s">
        <v>69</v>
      </c>
      <c r="E98" s="7" t="s">
        <v>619</v>
      </c>
      <c r="F98" s="7"/>
      <c r="G98" s="7" t="s">
        <v>620</v>
      </c>
      <c r="H98" s="7"/>
      <c r="I98" s="7"/>
      <c r="J98" s="7" t="s">
        <v>621</v>
      </c>
      <c r="K98" s="7" t="s">
        <v>51</v>
      </c>
      <c r="L98" s="6" t="s">
        <v>67</v>
      </c>
      <c r="M98" s="7"/>
    </row>
    <row r="99" customFormat="false" ht="54" hidden="false" customHeight="true" outlineLevel="0" collapsed="false">
      <c r="A99" s="9" t="n">
        <v>98</v>
      </c>
      <c r="B99" s="10" t="s">
        <v>622</v>
      </c>
      <c r="C99" s="9" t="s">
        <v>308</v>
      </c>
      <c r="D99" s="10" t="s">
        <v>69</v>
      </c>
      <c r="E99" s="10" t="s">
        <v>623</v>
      </c>
      <c r="F99" s="10"/>
      <c r="G99" s="10" t="s">
        <v>620</v>
      </c>
      <c r="H99" s="10"/>
      <c r="I99" s="10"/>
      <c r="J99" s="10" t="s">
        <v>624</v>
      </c>
      <c r="K99" s="10" t="s">
        <v>125</v>
      </c>
      <c r="L99" s="9" t="s">
        <v>75</v>
      </c>
      <c r="M99" s="10"/>
    </row>
    <row r="100" customFormat="false" ht="54" hidden="false" customHeight="true" outlineLevel="0" collapsed="false">
      <c r="A100" s="6" t="n">
        <v>99</v>
      </c>
      <c r="B100" s="7" t="s">
        <v>625</v>
      </c>
      <c r="C100" s="6" t="s">
        <v>125</v>
      </c>
      <c r="D100" s="7" t="s">
        <v>181</v>
      </c>
      <c r="E100" s="7" t="s">
        <v>626</v>
      </c>
      <c r="F100" s="7"/>
      <c r="G100" s="7"/>
      <c r="H100" s="7"/>
      <c r="I100" s="7"/>
      <c r="J100" s="7" t="s">
        <v>627</v>
      </c>
      <c r="K100" s="7" t="s">
        <v>125</v>
      </c>
      <c r="L100" s="6" t="s">
        <v>75</v>
      </c>
      <c r="M100" s="7"/>
    </row>
    <row r="101" customFormat="false" ht="54" hidden="false" customHeight="true" outlineLevel="0" collapsed="false">
      <c r="A101" s="9" t="n">
        <v>100</v>
      </c>
      <c r="B101" s="10" t="s">
        <v>628</v>
      </c>
      <c r="C101" s="9" t="s">
        <v>125</v>
      </c>
      <c r="D101" s="10" t="s">
        <v>373</v>
      </c>
      <c r="E101" s="10" t="s">
        <v>629</v>
      </c>
      <c r="F101" s="10"/>
      <c r="G101" s="10"/>
      <c r="H101" s="10" t="s">
        <v>630</v>
      </c>
      <c r="I101" s="10"/>
      <c r="J101" s="10" t="s">
        <v>631</v>
      </c>
      <c r="K101" s="10" t="s">
        <v>125</v>
      </c>
      <c r="L101" s="9" t="s">
        <v>67</v>
      </c>
      <c r="M101" s="10"/>
    </row>
    <row r="102" customFormat="false" ht="54" hidden="false" customHeight="true" outlineLevel="0" collapsed="false">
      <c r="A102" s="6" t="n">
        <v>101</v>
      </c>
      <c r="B102" s="7" t="s">
        <v>632</v>
      </c>
      <c r="C102" s="6" t="s">
        <v>125</v>
      </c>
      <c r="D102" s="7" t="s">
        <v>373</v>
      </c>
      <c r="E102" s="7" t="s">
        <v>633</v>
      </c>
      <c r="F102" s="7"/>
      <c r="G102" s="7"/>
      <c r="H102" s="7"/>
      <c r="I102" s="7"/>
      <c r="J102" s="7" t="s">
        <v>634</v>
      </c>
      <c r="K102" s="7" t="s">
        <v>125</v>
      </c>
      <c r="L102" s="6" t="s">
        <v>67</v>
      </c>
      <c r="M102" s="7"/>
    </row>
    <row r="103" customFormat="false" ht="54" hidden="false" customHeight="true" outlineLevel="0" collapsed="false">
      <c r="A103" s="9" t="n">
        <v>102</v>
      </c>
      <c r="B103" s="10" t="s">
        <v>635</v>
      </c>
      <c r="C103" s="9" t="s">
        <v>125</v>
      </c>
      <c r="D103" s="10" t="s">
        <v>373</v>
      </c>
      <c r="E103" s="10" t="s">
        <v>636</v>
      </c>
      <c r="F103" s="10"/>
      <c r="G103" s="10"/>
      <c r="H103" s="10"/>
      <c r="I103" s="10"/>
      <c r="J103" s="10" t="s">
        <v>637</v>
      </c>
      <c r="K103" s="10" t="s">
        <v>125</v>
      </c>
      <c r="L103" s="9" t="s">
        <v>67</v>
      </c>
      <c r="M103" s="10"/>
    </row>
    <row r="104" customFormat="false" ht="54" hidden="false" customHeight="true" outlineLevel="0" collapsed="false">
      <c r="A104" s="6" t="n">
        <v>103</v>
      </c>
      <c r="B104" s="7" t="s">
        <v>638</v>
      </c>
      <c r="C104" s="6" t="s">
        <v>44</v>
      </c>
      <c r="D104" s="7" t="s">
        <v>639</v>
      </c>
      <c r="E104" s="7" t="s">
        <v>640</v>
      </c>
      <c r="F104" s="7" t="s">
        <v>641</v>
      </c>
      <c r="G104" s="7" t="s">
        <v>642</v>
      </c>
      <c r="H104" s="7" t="s">
        <v>643</v>
      </c>
      <c r="I104" s="7"/>
      <c r="J104" s="7" t="s">
        <v>644</v>
      </c>
      <c r="K104" s="7" t="s">
        <v>51</v>
      </c>
      <c r="L104" s="6" t="s">
        <v>67</v>
      </c>
      <c r="M104" s="7"/>
    </row>
    <row r="105" customFormat="false" ht="54" hidden="false" customHeight="true" outlineLevel="0" collapsed="false">
      <c r="A105" s="9" t="n">
        <v>104</v>
      </c>
      <c r="B105" s="10" t="s">
        <v>645</v>
      </c>
      <c r="C105" s="9" t="s">
        <v>44</v>
      </c>
      <c r="D105" s="10" t="s">
        <v>639</v>
      </c>
      <c r="E105" s="10" t="s">
        <v>646</v>
      </c>
      <c r="F105" s="10"/>
      <c r="G105" s="10" t="s">
        <v>647</v>
      </c>
      <c r="H105" s="10"/>
      <c r="I105" s="10"/>
      <c r="J105" s="10" t="s">
        <v>648</v>
      </c>
      <c r="K105" s="10" t="s">
        <v>51</v>
      </c>
      <c r="L105" s="9" t="s">
        <v>67</v>
      </c>
      <c r="M105" s="10"/>
    </row>
    <row r="106" customFormat="false" ht="54" hidden="false" customHeight="true" outlineLevel="0" collapsed="false">
      <c r="A106" s="6" t="n">
        <v>105</v>
      </c>
      <c r="B106" s="7" t="s">
        <v>649</v>
      </c>
      <c r="C106" s="6" t="s">
        <v>308</v>
      </c>
      <c r="D106" s="7" t="s">
        <v>650</v>
      </c>
      <c r="E106" s="7" t="s">
        <v>651</v>
      </c>
      <c r="F106" s="7" t="s">
        <v>652</v>
      </c>
      <c r="G106" s="7" t="s">
        <v>653</v>
      </c>
      <c r="H106" s="7" t="s">
        <v>654</v>
      </c>
      <c r="I106" s="7" t="s">
        <v>649</v>
      </c>
      <c r="J106" s="7" t="s">
        <v>655</v>
      </c>
      <c r="K106" s="7" t="s">
        <v>51</v>
      </c>
      <c r="L106" s="8" t="s">
        <v>52</v>
      </c>
      <c r="M106" s="7"/>
    </row>
    <row r="107" customFormat="false" ht="54" hidden="false" customHeight="true" outlineLevel="0" collapsed="false">
      <c r="A107" s="9" t="n">
        <v>106</v>
      </c>
      <c r="B107" s="10" t="s">
        <v>656</v>
      </c>
      <c r="C107" s="9" t="s">
        <v>44</v>
      </c>
      <c r="D107" s="10" t="s">
        <v>657</v>
      </c>
      <c r="E107" s="10" t="s">
        <v>658</v>
      </c>
      <c r="F107" s="10" t="s">
        <v>659</v>
      </c>
      <c r="G107" s="10" t="s">
        <v>660</v>
      </c>
      <c r="H107" s="10"/>
      <c r="I107" s="10" t="s">
        <v>661</v>
      </c>
      <c r="J107" s="10" t="s">
        <v>662</v>
      </c>
      <c r="K107" s="10" t="s">
        <v>51</v>
      </c>
      <c r="L107" s="8" t="s">
        <v>52</v>
      </c>
      <c r="M107" s="10"/>
    </row>
    <row r="108" customFormat="false" ht="54" hidden="false" customHeight="true" outlineLevel="0" collapsed="false">
      <c r="A108" s="6" t="n">
        <v>107</v>
      </c>
      <c r="B108" s="7" t="s">
        <v>663</v>
      </c>
      <c r="C108" s="6" t="s">
        <v>44</v>
      </c>
      <c r="D108" s="7" t="s">
        <v>657</v>
      </c>
      <c r="E108" s="7" t="s">
        <v>664</v>
      </c>
      <c r="F108" s="7" t="s">
        <v>665</v>
      </c>
      <c r="G108" s="7" t="s">
        <v>666</v>
      </c>
      <c r="H108" s="7" t="s">
        <v>667</v>
      </c>
      <c r="I108" s="7"/>
      <c r="J108" s="7" t="s">
        <v>668</v>
      </c>
      <c r="K108" s="7" t="s">
        <v>51</v>
      </c>
      <c r="L108" s="6" t="s">
        <v>67</v>
      </c>
      <c r="M108" s="7"/>
    </row>
    <row r="109" customFormat="false" ht="54" hidden="false" customHeight="true" outlineLevel="0" collapsed="false">
      <c r="A109" s="9" t="n">
        <v>108</v>
      </c>
      <c r="B109" s="10" t="s">
        <v>669</v>
      </c>
      <c r="C109" s="9" t="s">
        <v>44</v>
      </c>
      <c r="D109" s="10" t="s">
        <v>670</v>
      </c>
      <c r="E109" s="10" t="s">
        <v>671</v>
      </c>
      <c r="F109" s="10"/>
      <c r="G109" s="10" t="s">
        <v>672</v>
      </c>
      <c r="H109" s="10"/>
      <c r="I109" s="10"/>
      <c r="J109" s="10" t="s">
        <v>673</v>
      </c>
      <c r="K109" s="10" t="s">
        <v>51</v>
      </c>
      <c r="L109" s="9" t="s">
        <v>67</v>
      </c>
      <c r="M109" s="10"/>
    </row>
    <row r="110" customFormat="false" ht="54" hidden="false" customHeight="true" outlineLevel="0" collapsed="false">
      <c r="A110" s="6" t="n">
        <v>109</v>
      </c>
      <c r="B110" s="7" t="s">
        <v>674</v>
      </c>
      <c r="C110" s="6" t="s">
        <v>44</v>
      </c>
      <c r="D110" s="7" t="s">
        <v>657</v>
      </c>
      <c r="E110" s="7" t="s">
        <v>675</v>
      </c>
      <c r="F110" s="7"/>
      <c r="G110" s="7"/>
      <c r="H110" s="7"/>
      <c r="I110" s="7"/>
      <c r="J110" s="7" t="s">
        <v>676</v>
      </c>
      <c r="K110" s="7" t="s">
        <v>51</v>
      </c>
      <c r="L110" s="6" t="s">
        <v>67</v>
      </c>
      <c r="M110" s="7"/>
    </row>
    <row r="111" customFormat="false" ht="54" hidden="false" customHeight="true" outlineLevel="0" collapsed="false">
      <c r="A111" s="9" t="n">
        <v>110</v>
      </c>
      <c r="B111" s="10" t="s">
        <v>677</v>
      </c>
      <c r="C111" s="9" t="s">
        <v>44</v>
      </c>
      <c r="D111" s="10" t="s">
        <v>678</v>
      </c>
      <c r="E111" s="10" t="s">
        <v>679</v>
      </c>
      <c r="F111" s="10" t="s">
        <v>680</v>
      </c>
      <c r="G111" s="10" t="s">
        <v>681</v>
      </c>
      <c r="H111" s="10"/>
      <c r="I111" s="10"/>
      <c r="J111" s="10" t="s">
        <v>682</v>
      </c>
      <c r="K111" s="10" t="s">
        <v>51</v>
      </c>
      <c r="L111" s="9" t="s">
        <v>67</v>
      </c>
      <c r="M111" s="10"/>
    </row>
    <row r="112" customFormat="false" ht="54" hidden="false" customHeight="true" outlineLevel="0" collapsed="false">
      <c r="A112" s="6" t="n">
        <v>111</v>
      </c>
      <c r="B112" s="7" t="s">
        <v>683</v>
      </c>
      <c r="C112" s="6" t="s">
        <v>44</v>
      </c>
      <c r="D112" s="7" t="s">
        <v>684</v>
      </c>
      <c r="E112" s="7" t="s">
        <v>685</v>
      </c>
      <c r="F112" s="7" t="s">
        <v>686</v>
      </c>
      <c r="G112" s="7" t="s">
        <v>687</v>
      </c>
      <c r="H112" s="7" t="s">
        <v>688</v>
      </c>
      <c r="I112" s="7"/>
      <c r="J112" s="7" t="s">
        <v>689</v>
      </c>
      <c r="K112" s="7" t="s">
        <v>51</v>
      </c>
      <c r="L112" s="8" t="s">
        <v>52</v>
      </c>
      <c r="M112" s="7"/>
    </row>
    <row r="113" customFormat="false" ht="54" hidden="false" customHeight="true" outlineLevel="0" collapsed="false">
      <c r="A113" s="9" t="n">
        <v>112</v>
      </c>
      <c r="B113" s="10" t="s">
        <v>690</v>
      </c>
      <c r="C113" s="9" t="s">
        <v>44</v>
      </c>
      <c r="D113" s="10" t="s">
        <v>684</v>
      </c>
      <c r="E113" s="10" t="s">
        <v>691</v>
      </c>
      <c r="F113" s="10" t="s">
        <v>692</v>
      </c>
      <c r="G113" s="10" t="s">
        <v>693</v>
      </c>
      <c r="H113" s="10"/>
      <c r="I113" s="10"/>
      <c r="J113" s="10" t="s">
        <v>694</v>
      </c>
      <c r="K113" s="10" t="s">
        <v>125</v>
      </c>
      <c r="L113" s="9" t="s">
        <v>67</v>
      </c>
      <c r="M113" s="10"/>
    </row>
    <row r="114" customFormat="false" ht="54" hidden="false" customHeight="true" outlineLevel="0" collapsed="false">
      <c r="A114" s="6" t="n">
        <v>113</v>
      </c>
      <c r="B114" s="7" t="s">
        <v>695</v>
      </c>
      <c r="C114" s="6" t="s">
        <v>44</v>
      </c>
      <c r="D114" s="7" t="s">
        <v>678</v>
      </c>
      <c r="E114" s="7" t="s">
        <v>696</v>
      </c>
      <c r="F114" s="7" t="s">
        <v>697</v>
      </c>
      <c r="G114" s="7" t="s">
        <v>698</v>
      </c>
      <c r="H114" s="7" t="s">
        <v>699</v>
      </c>
      <c r="I114" s="7"/>
      <c r="J114" s="7" t="s">
        <v>700</v>
      </c>
      <c r="K114" s="7" t="s">
        <v>51</v>
      </c>
      <c r="L114" s="6" t="s">
        <v>67</v>
      </c>
      <c r="M114" s="7"/>
    </row>
    <row r="115" customFormat="false" ht="54" hidden="false" customHeight="true" outlineLevel="0" collapsed="false">
      <c r="A115" s="9" t="n">
        <v>114</v>
      </c>
      <c r="B115" s="10" t="s">
        <v>701</v>
      </c>
      <c r="C115" s="9" t="s">
        <v>44</v>
      </c>
      <c r="D115" s="10" t="s">
        <v>702</v>
      </c>
      <c r="E115" s="10" t="s">
        <v>703</v>
      </c>
      <c r="F115" s="10" t="s">
        <v>704</v>
      </c>
      <c r="G115" s="10" t="s">
        <v>705</v>
      </c>
      <c r="H115" s="10" t="s">
        <v>706</v>
      </c>
      <c r="I115" s="10"/>
      <c r="J115" s="10" t="s">
        <v>707</v>
      </c>
      <c r="K115" s="10" t="s">
        <v>51</v>
      </c>
      <c r="L115" s="9" t="s">
        <v>67</v>
      </c>
      <c r="M115" s="10"/>
    </row>
    <row r="116" customFormat="false" ht="54" hidden="false" customHeight="true" outlineLevel="0" collapsed="false">
      <c r="A116" s="6" t="n">
        <v>115</v>
      </c>
      <c r="B116" s="7" t="s">
        <v>708</v>
      </c>
      <c r="C116" s="6" t="s">
        <v>44</v>
      </c>
      <c r="D116" s="7" t="s">
        <v>709</v>
      </c>
      <c r="E116" s="7" t="s">
        <v>710</v>
      </c>
      <c r="F116" s="7" t="s">
        <v>711</v>
      </c>
      <c r="G116" s="7" t="s">
        <v>712</v>
      </c>
      <c r="H116" s="7"/>
      <c r="I116" s="7"/>
      <c r="J116" s="7" t="s">
        <v>713</v>
      </c>
      <c r="K116" s="7" t="s">
        <v>51</v>
      </c>
      <c r="L116" s="6" t="s">
        <v>67</v>
      </c>
      <c r="M116" s="7"/>
    </row>
    <row r="117" customFormat="false" ht="54" hidden="false" customHeight="true" outlineLevel="0" collapsed="false">
      <c r="A117" s="9" t="n">
        <v>116</v>
      </c>
      <c r="B117" s="10" t="s">
        <v>714</v>
      </c>
      <c r="C117" s="9" t="s">
        <v>44</v>
      </c>
      <c r="D117" s="10" t="s">
        <v>715</v>
      </c>
      <c r="E117" s="10" t="s">
        <v>716</v>
      </c>
      <c r="F117" s="10" t="s">
        <v>717</v>
      </c>
      <c r="G117" s="10" t="s">
        <v>718</v>
      </c>
      <c r="H117" s="10"/>
      <c r="I117" s="10"/>
      <c r="J117" s="10" t="s">
        <v>719</v>
      </c>
      <c r="K117" s="10" t="s">
        <v>51</v>
      </c>
      <c r="L117" s="9" t="s">
        <v>67</v>
      </c>
      <c r="M117" s="10"/>
    </row>
    <row r="118" customFormat="false" ht="54" hidden="false" customHeight="true" outlineLevel="0" collapsed="false">
      <c r="A118" s="6" t="n">
        <v>117</v>
      </c>
      <c r="B118" s="7" t="s">
        <v>720</v>
      </c>
      <c r="C118" s="6" t="s">
        <v>44</v>
      </c>
      <c r="D118" s="7" t="s">
        <v>721</v>
      </c>
      <c r="E118" s="7" t="s">
        <v>722</v>
      </c>
      <c r="F118" s="7" t="s">
        <v>723</v>
      </c>
      <c r="G118" s="7" t="s">
        <v>724</v>
      </c>
      <c r="H118" s="7"/>
      <c r="I118" s="7"/>
      <c r="J118" s="7" t="s">
        <v>725</v>
      </c>
      <c r="K118" s="7" t="s">
        <v>51</v>
      </c>
      <c r="L118" s="6" t="s">
        <v>67</v>
      </c>
      <c r="M118" s="7"/>
    </row>
    <row r="119" customFormat="false" ht="54" hidden="false" customHeight="true" outlineLevel="0" collapsed="false">
      <c r="A119" s="9" t="n">
        <v>118</v>
      </c>
      <c r="B119" s="10" t="s">
        <v>726</v>
      </c>
      <c r="C119" s="9" t="s">
        <v>44</v>
      </c>
      <c r="D119" s="10" t="s">
        <v>721</v>
      </c>
      <c r="E119" s="10" t="s">
        <v>727</v>
      </c>
      <c r="F119" s="10" t="s">
        <v>728</v>
      </c>
      <c r="G119" s="10" t="s">
        <v>729</v>
      </c>
      <c r="H119" s="10"/>
      <c r="I119" s="10"/>
      <c r="J119" s="10" t="s">
        <v>730</v>
      </c>
      <c r="K119" s="10" t="s">
        <v>51</v>
      </c>
      <c r="L119" s="9" t="s">
        <v>67</v>
      </c>
      <c r="M119" s="10"/>
    </row>
    <row r="120" customFormat="false" ht="54" hidden="false" customHeight="true" outlineLevel="0" collapsed="false">
      <c r="A120" s="6" t="n">
        <v>119</v>
      </c>
      <c r="B120" s="7" t="s">
        <v>731</v>
      </c>
      <c r="C120" s="6" t="s">
        <v>44</v>
      </c>
      <c r="D120" s="7" t="s">
        <v>732</v>
      </c>
      <c r="E120" s="7" t="s">
        <v>733</v>
      </c>
      <c r="F120" s="7"/>
      <c r="G120" s="7" t="s">
        <v>734</v>
      </c>
      <c r="H120" s="7"/>
      <c r="I120" s="7"/>
      <c r="J120" s="7" t="s">
        <v>735</v>
      </c>
      <c r="K120" s="7" t="s">
        <v>51</v>
      </c>
      <c r="L120" s="6" t="s">
        <v>67</v>
      </c>
      <c r="M120" s="7"/>
    </row>
    <row r="121" customFormat="false" ht="54" hidden="false" customHeight="true" outlineLevel="0" collapsed="false">
      <c r="A121" s="9" t="n">
        <v>120</v>
      </c>
      <c r="B121" s="10" t="s">
        <v>736</v>
      </c>
      <c r="C121" s="9" t="s">
        <v>44</v>
      </c>
      <c r="D121" s="10" t="s">
        <v>732</v>
      </c>
      <c r="E121" s="10" t="s">
        <v>737</v>
      </c>
      <c r="F121" s="10" t="s">
        <v>738</v>
      </c>
      <c r="G121" s="10" t="s">
        <v>739</v>
      </c>
      <c r="H121" s="10"/>
      <c r="I121" s="10" t="s">
        <v>740</v>
      </c>
      <c r="J121" s="10" t="s">
        <v>741</v>
      </c>
      <c r="K121" s="10" t="s">
        <v>125</v>
      </c>
      <c r="L121" s="9" t="s">
        <v>67</v>
      </c>
      <c r="M121" s="10"/>
    </row>
    <row r="122" customFormat="false" ht="54" hidden="false" customHeight="true" outlineLevel="0" collapsed="false">
      <c r="A122" s="6" t="n">
        <v>121</v>
      </c>
      <c r="B122" s="7" t="s">
        <v>742</v>
      </c>
      <c r="C122" s="6" t="s">
        <v>44</v>
      </c>
      <c r="D122" s="7" t="s">
        <v>732</v>
      </c>
      <c r="E122" s="7" t="s">
        <v>743</v>
      </c>
      <c r="F122" s="7" t="s">
        <v>744</v>
      </c>
      <c r="G122" s="7" t="s">
        <v>745</v>
      </c>
      <c r="H122" s="7"/>
      <c r="I122" s="7"/>
      <c r="J122" s="7" t="s">
        <v>746</v>
      </c>
      <c r="K122" s="7" t="s">
        <v>51</v>
      </c>
      <c r="L122" s="6" t="s">
        <v>67</v>
      </c>
      <c r="M122" s="7"/>
    </row>
    <row r="123" customFormat="false" ht="54" hidden="false" customHeight="true" outlineLevel="0" collapsed="false">
      <c r="A123" s="9" t="n">
        <v>122</v>
      </c>
      <c r="B123" s="10" t="s">
        <v>747</v>
      </c>
      <c r="C123" s="9" t="s">
        <v>44</v>
      </c>
      <c r="D123" s="10" t="s">
        <v>748</v>
      </c>
      <c r="E123" s="10" t="s">
        <v>749</v>
      </c>
      <c r="F123" s="10" t="s">
        <v>750</v>
      </c>
      <c r="G123" s="10" t="s">
        <v>751</v>
      </c>
      <c r="H123" s="10"/>
      <c r="I123" s="10"/>
      <c r="J123" s="10" t="s">
        <v>752</v>
      </c>
      <c r="K123" s="10" t="s">
        <v>51</v>
      </c>
      <c r="L123" s="8" t="s">
        <v>52</v>
      </c>
      <c r="M123" s="10"/>
    </row>
    <row r="124" customFormat="false" ht="54" hidden="false" customHeight="true" outlineLevel="0" collapsed="false">
      <c r="A124" s="6" t="n">
        <v>123</v>
      </c>
      <c r="B124" s="7" t="s">
        <v>753</v>
      </c>
      <c r="C124" s="6" t="s">
        <v>44</v>
      </c>
      <c r="D124" s="7" t="s">
        <v>754</v>
      </c>
      <c r="E124" s="7" t="s">
        <v>755</v>
      </c>
      <c r="F124" s="7" t="s">
        <v>756</v>
      </c>
      <c r="G124" s="7" t="s">
        <v>757</v>
      </c>
      <c r="H124" s="7" t="s">
        <v>758</v>
      </c>
      <c r="I124" s="7"/>
      <c r="J124" s="7" t="s">
        <v>759</v>
      </c>
      <c r="K124" s="7" t="s">
        <v>51</v>
      </c>
      <c r="L124" s="6" t="s">
        <v>67</v>
      </c>
      <c r="M124" s="7"/>
    </row>
    <row r="125" customFormat="false" ht="54" hidden="false" customHeight="true" outlineLevel="0" collapsed="false">
      <c r="A125" s="9" t="n">
        <v>124</v>
      </c>
      <c r="B125" s="10" t="s">
        <v>760</v>
      </c>
      <c r="C125" s="9" t="s">
        <v>44</v>
      </c>
      <c r="D125" s="10" t="s">
        <v>761</v>
      </c>
      <c r="E125" s="10" t="s">
        <v>762</v>
      </c>
      <c r="F125" s="10" t="s">
        <v>763</v>
      </c>
      <c r="G125" s="10"/>
      <c r="H125" s="10"/>
      <c r="I125" s="10"/>
      <c r="J125" s="10" t="s">
        <v>764</v>
      </c>
      <c r="K125" s="10" t="s">
        <v>51</v>
      </c>
      <c r="L125" s="9" t="s">
        <v>67</v>
      </c>
      <c r="M125" s="10"/>
    </row>
    <row r="126" customFormat="false" ht="54" hidden="false" customHeight="true" outlineLevel="0" collapsed="false">
      <c r="A126" s="6" t="n">
        <v>125</v>
      </c>
      <c r="B126" s="7" t="s">
        <v>765</v>
      </c>
      <c r="C126" s="6" t="s">
        <v>44</v>
      </c>
      <c r="D126" s="7" t="s">
        <v>449</v>
      </c>
      <c r="E126" s="7" t="s">
        <v>766</v>
      </c>
      <c r="F126" s="7"/>
      <c r="G126" s="7" t="s">
        <v>767</v>
      </c>
      <c r="H126" s="7" t="s">
        <v>768</v>
      </c>
      <c r="I126" s="7"/>
      <c r="J126" s="7" t="s">
        <v>769</v>
      </c>
      <c r="K126" s="7" t="s">
        <v>51</v>
      </c>
      <c r="L126" s="6" t="s">
        <v>67</v>
      </c>
      <c r="M126" s="7"/>
    </row>
    <row r="127" customFormat="false" ht="54" hidden="false" customHeight="true" outlineLevel="0" collapsed="false">
      <c r="A127" s="9" t="n">
        <v>126</v>
      </c>
      <c r="B127" s="10" t="s">
        <v>770</v>
      </c>
      <c r="C127" s="9" t="s">
        <v>44</v>
      </c>
      <c r="D127" s="10" t="s">
        <v>771</v>
      </c>
      <c r="E127" s="10" t="s">
        <v>772</v>
      </c>
      <c r="F127" s="10" t="s">
        <v>773</v>
      </c>
      <c r="G127" s="10" t="s">
        <v>774</v>
      </c>
      <c r="H127" s="10"/>
      <c r="I127" s="10"/>
      <c r="J127" s="10" t="s">
        <v>775</v>
      </c>
      <c r="K127" s="10" t="s">
        <v>51</v>
      </c>
      <c r="L127" s="9" t="s">
        <v>67</v>
      </c>
      <c r="M127" s="10"/>
    </row>
    <row r="128" customFormat="false" ht="54" hidden="false" customHeight="true" outlineLevel="0" collapsed="false">
      <c r="A128" s="6" t="n">
        <v>127</v>
      </c>
      <c r="B128" s="7" t="s">
        <v>776</v>
      </c>
      <c r="C128" s="6" t="s">
        <v>44</v>
      </c>
      <c r="D128" s="7" t="s">
        <v>777</v>
      </c>
      <c r="E128" s="7" t="s">
        <v>778</v>
      </c>
      <c r="F128" s="7" t="s">
        <v>779</v>
      </c>
      <c r="G128" s="7" t="s">
        <v>780</v>
      </c>
      <c r="H128" s="7" t="s">
        <v>781</v>
      </c>
      <c r="I128" s="7"/>
      <c r="J128" s="7" t="s">
        <v>782</v>
      </c>
      <c r="K128" s="7" t="s">
        <v>51</v>
      </c>
      <c r="L128" s="8" t="s">
        <v>52</v>
      </c>
      <c r="M128" s="7"/>
    </row>
    <row r="129" customFormat="false" ht="54" hidden="false" customHeight="true" outlineLevel="0" collapsed="false">
      <c r="A129" s="9" t="n">
        <v>128</v>
      </c>
      <c r="B129" s="10" t="s">
        <v>783</v>
      </c>
      <c r="C129" s="9" t="s">
        <v>44</v>
      </c>
      <c r="D129" s="10" t="s">
        <v>784</v>
      </c>
      <c r="E129" s="10" t="s">
        <v>785</v>
      </c>
      <c r="F129" s="10" t="s">
        <v>786</v>
      </c>
      <c r="G129" s="10" t="s">
        <v>787</v>
      </c>
      <c r="H129" s="10" t="s">
        <v>788</v>
      </c>
      <c r="I129" s="10"/>
      <c r="J129" s="10" t="s">
        <v>789</v>
      </c>
      <c r="K129" s="10" t="s">
        <v>125</v>
      </c>
      <c r="L129" s="9" t="s">
        <v>67</v>
      </c>
      <c r="M129" s="10"/>
    </row>
    <row r="130" customFormat="false" ht="54" hidden="false" customHeight="true" outlineLevel="0" collapsed="false">
      <c r="A130" s="6" t="n">
        <v>129</v>
      </c>
      <c r="B130" s="7" t="s">
        <v>790</v>
      </c>
      <c r="C130" s="6" t="s">
        <v>44</v>
      </c>
      <c r="D130" s="7" t="s">
        <v>791</v>
      </c>
      <c r="E130" s="7" t="s">
        <v>792</v>
      </c>
      <c r="F130" s="7"/>
      <c r="G130" s="7"/>
      <c r="H130" s="7" t="s">
        <v>793</v>
      </c>
      <c r="I130" s="7"/>
      <c r="J130" s="7" t="s">
        <v>794</v>
      </c>
      <c r="K130" s="7" t="s">
        <v>51</v>
      </c>
      <c r="L130" s="6" t="s">
        <v>67</v>
      </c>
      <c r="M130" s="7"/>
    </row>
    <row r="131" customFormat="false" ht="54" hidden="false" customHeight="true" outlineLevel="0" collapsed="false">
      <c r="A131" s="9" t="n">
        <v>130</v>
      </c>
      <c r="B131" s="10" t="s">
        <v>795</v>
      </c>
      <c r="C131" s="9" t="s">
        <v>44</v>
      </c>
      <c r="D131" s="10" t="s">
        <v>69</v>
      </c>
      <c r="E131" s="10" t="s">
        <v>796</v>
      </c>
      <c r="F131" s="10" t="s">
        <v>797</v>
      </c>
      <c r="G131" s="10"/>
      <c r="H131" s="10" t="s">
        <v>798</v>
      </c>
      <c r="I131" s="10" t="s">
        <v>799</v>
      </c>
      <c r="J131" s="10" t="s">
        <v>800</v>
      </c>
      <c r="K131" s="10" t="s">
        <v>51</v>
      </c>
      <c r="L131" s="8" t="s">
        <v>52</v>
      </c>
      <c r="M131" s="10"/>
    </row>
    <row r="132" customFormat="false" ht="54" hidden="false" customHeight="true" outlineLevel="0" collapsed="false">
      <c r="A132" s="6" t="n">
        <v>131</v>
      </c>
      <c r="B132" s="7" t="s">
        <v>801</v>
      </c>
      <c r="C132" s="6" t="s">
        <v>44</v>
      </c>
      <c r="D132" s="7" t="s">
        <v>388</v>
      </c>
      <c r="E132" s="7" t="s">
        <v>802</v>
      </c>
      <c r="F132" s="7" t="s">
        <v>803</v>
      </c>
      <c r="G132" s="7" t="s">
        <v>804</v>
      </c>
      <c r="H132" s="7" t="s">
        <v>805</v>
      </c>
      <c r="I132" s="7"/>
      <c r="J132" s="7" t="s">
        <v>806</v>
      </c>
      <c r="K132" s="7" t="s">
        <v>51</v>
      </c>
      <c r="L132" s="8" t="s">
        <v>52</v>
      </c>
      <c r="M132" s="7"/>
    </row>
    <row r="133" customFormat="false" ht="54" hidden="false" customHeight="true" outlineLevel="0" collapsed="false">
      <c r="A133" s="9" t="n">
        <v>132</v>
      </c>
      <c r="B133" s="10" t="s">
        <v>807</v>
      </c>
      <c r="C133" s="9" t="s">
        <v>44</v>
      </c>
      <c r="D133" s="10" t="s">
        <v>808</v>
      </c>
      <c r="E133" s="10" t="s">
        <v>809</v>
      </c>
      <c r="F133" s="10"/>
      <c r="G133" s="10"/>
      <c r="H133" s="10" t="s">
        <v>810</v>
      </c>
      <c r="I133" s="10"/>
      <c r="J133" s="10" t="s">
        <v>811</v>
      </c>
      <c r="K133" s="10" t="s">
        <v>125</v>
      </c>
      <c r="L133" s="9" t="s">
        <v>75</v>
      </c>
      <c r="M133" s="10"/>
    </row>
    <row r="134" customFormat="false" ht="54" hidden="false" customHeight="true" outlineLevel="0" collapsed="false">
      <c r="A134" s="6" t="n">
        <v>133</v>
      </c>
      <c r="B134" s="7" t="s">
        <v>812</v>
      </c>
      <c r="C134" s="6" t="s">
        <v>161</v>
      </c>
      <c r="D134" s="7" t="s">
        <v>813</v>
      </c>
      <c r="E134" s="7" t="s">
        <v>814</v>
      </c>
      <c r="F134" s="7" t="s">
        <v>815</v>
      </c>
      <c r="G134" s="7"/>
      <c r="H134" s="7" t="s">
        <v>816</v>
      </c>
      <c r="I134" s="7"/>
      <c r="J134" s="7" t="s">
        <v>817</v>
      </c>
      <c r="K134" s="7" t="s">
        <v>125</v>
      </c>
      <c r="L134" s="8" t="s">
        <v>52</v>
      </c>
      <c r="M134" s="7"/>
    </row>
    <row r="135" customFormat="false" ht="54" hidden="false" customHeight="true" outlineLevel="0" collapsed="false">
      <c r="A135" s="9" t="n">
        <v>134</v>
      </c>
      <c r="B135" s="10" t="s">
        <v>818</v>
      </c>
      <c r="C135" s="9" t="s">
        <v>161</v>
      </c>
      <c r="D135" s="10" t="s">
        <v>69</v>
      </c>
      <c r="E135" s="10" t="s">
        <v>819</v>
      </c>
      <c r="F135" s="10"/>
      <c r="G135" s="10" t="s">
        <v>820</v>
      </c>
      <c r="H135" s="10" t="s">
        <v>821</v>
      </c>
      <c r="I135" s="10"/>
      <c r="J135" s="10" t="s">
        <v>822</v>
      </c>
      <c r="K135" s="10" t="s">
        <v>125</v>
      </c>
      <c r="L135" s="8" t="s">
        <v>52</v>
      </c>
      <c r="M135" s="10"/>
    </row>
    <row r="136" customFormat="false" ht="54" hidden="false" customHeight="true" outlineLevel="0" collapsed="false">
      <c r="A136" s="6" t="n">
        <v>135</v>
      </c>
      <c r="B136" s="7" t="s">
        <v>823</v>
      </c>
      <c r="C136" s="6" t="s">
        <v>161</v>
      </c>
      <c r="D136" s="7" t="s">
        <v>824</v>
      </c>
      <c r="E136" s="7" t="s">
        <v>825</v>
      </c>
      <c r="F136" s="7" t="s">
        <v>826</v>
      </c>
      <c r="G136" s="7" t="s">
        <v>827</v>
      </c>
      <c r="H136" s="7" t="s">
        <v>828</v>
      </c>
      <c r="I136" s="7" t="s">
        <v>829</v>
      </c>
      <c r="J136" s="7" t="s">
        <v>830</v>
      </c>
      <c r="K136" s="7" t="s">
        <v>125</v>
      </c>
      <c r="L136" s="8" t="s">
        <v>52</v>
      </c>
      <c r="M136" s="7"/>
    </row>
    <row r="137" customFormat="false" ht="54" hidden="false" customHeight="true" outlineLevel="0" collapsed="false">
      <c r="A137" s="9" t="n">
        <v>136</v>
      </c>
      <c r="B137" s="10" t="s">
        <v>831</v>
      </c>
      <c r="C137" s="9" t="s">
        <v>161</v>
      </c>
      <c r="D137" s="10" t="s">
        <v>832</v>
      </c>
      <c r="E137" s="10" t="s">
        <v>833</v>
      </c>
      <c r="F137" s="10" t="s">
        <v>834</v>
      </c>
      <c r="G137" s="10" t="s">
        <v>835</v>
      </c>
      <c r="H137" s="10" t="s">
        <v>836</v>
      </c>
      <c r="I137" s="10"/>
      <c r="J137" s="10" t="s">
        <v>837</v>
      </c>
      <c r="K137" s="10" t="s">
        <v>125</v>
      </c>
      <c r="L137" s="8" t="s">
        <v>52</v>
      </c>
      <c r="M137" s="10"/>
    </row>
    <row r="138" customFormat="false" ht="54" hidden="false" customHeight="true" outlineLevel="0" collapsed="false">
      <c r="A138" s="6" t="n">
        <v>137</v>
      </c>
      <c r="B138" s="7" t="s">
        <v>838</v>
      </c>
      <c r="C138" s="6" t="s">
        <v>161</v>
      </c>
      <c r="D138" s="7" t="s">
        <v>839</v>
      </c>
      <c r="E138" s="7" t="s">
        <v>840</v>
      </c>
      <c r="F138" s="7"/>
      <c r="G138" s="7"/>
      <c r="H138" s="7" t="s">
        <v>841</v>
      </c>
      <c r="I138" s="7"/>
      <c r="J138" s="7" t="s">
        <v>842</v>
      </c>
      <c r="K138" s="7" t="s">
        <v>125</v>
      </c>
      <c r="L138" s="8" t="s">
        <v>52</v>
      </c>
      <c r="M138" s="7"/>
    </row>
    <row r="139" customFormat="false" ht="54" hidden="false" customHeight="true" outlineLevel="0" collapsed="false">
      <c r="A139" s="9" t="n">
        <v>138</v>
      </c>
      <c r="B139" s="10" t="s">
        <v>843</v>
      </c>
      <c r="C139" s="9" t="s">
        <v>161</v>
      </c>
      <c r="D139" s="10" t="s">
        <v>181</v>
      </c>
      <c r="E139" s="10" t="s">
        <v>844</v>
      </c>
      <c r="F139" s="10" t="s">
        <v>845</v>
      </c>
      <c r="G139" s="10" t="s">
        <v>846</v>
      </c>
      <c r="H139" s="10" t="s">
        <v>847</v>
      </c>
      <c r="I139" s="10" t="s">
        <v>848</v>
      </c>
      <c r="J139" s="10" t="s">
        <v>849</v>
      </c>
      <c r="K139" s="10" t="s">
        <v>125</v>
      </c>
      <c r="L139" s="8" t="s">
        <v>52</v>
      </c>
      <c r="M139" s="10"/>
    </row>
    <row r="140" customFormat="false" ht="54" hidden="false" customHeight="true" outlineLevel="0" collapsed="false">
      <c r="A140" s="6" t="n">
        <v>139</v>
      </c>
      <c r="B140" s="7" t="s">
        <v>850</v>
      </c>
      <c r="C140" s="6" t="s">
        <v>161</v>
      </c>
      <c r="D140" s="7" t="s">
        <v>303</v>
      </c>
      <c r="E140" s="7" t="s">
        <v>851</v>
      </c>
      <c r="F140" s="7" t="s">
        <v>852</v>
      </c>
      <c r="G140" s="7" t="s">
        <v>853</v>
      </c>
      <c r="H140" s="7"/>
      <c r="I140" s="7"/>
      <c r="J140" s="7" t="s">
        <v>854</v>
      </c>
      <c r="K140" s="7" t="s">
        <v>125</v>
      </c>
      <c r="L140" s="6" t="s">
        <v>67</v>
      </c>
      <c r="M140" s="7"/>
    </row>
    <row r="141" customFormat="false" ht="54" hidden="false" customHeight="true" outlineLevel="0" collapsed="false">
      <c r="A141" s="9" t="n">
        <v>140</v>
      </c>
      <c r="B141" s="10" t="s">
        <v>855</v>
      </c>
      <c r="C141" s="9" t="s">
        <v>161</v>
      </c>
      <c r="D141" s="10" t="s">
        <v>856</v>
      </c>
      <c r="E141" s="10" t="s">
        <v>857</v>
      </c>
      <c r="F141" s="10"/>
      <c r="G141" s="10" t="s">
        <v>858</v>
      </c>
      <c r="H141" s="10" t="s">
        <v>859</v>
      </c>
      <c r="I141" s="10"/>
      <c r="J141" s="10" t="s">
        <v>860</v>
      </c>
      <c r="K141" s="10" t="s">
        <v>125</v>
      </c>
      <c r="L141" s="9" t="s">
        <v>67</v>
      </c>
      <c r="M141" s="10"/>
    </row>
    <row r="142" customFormat="false" ht="54" hidden="false" customHeight="true" outlineLevel="0" collapsed="false">
      <c r="A142" s="6" t="n">
        <v>141</v>
      </c>
      <c r="B142" s="7" t="s">
        <v>861</v>
      </c>
      <c r="C142" s="6" t="s">
        <v>44</v>
      </c>
      <c r="D142" s="7" t="s">
        <v>61</v>
      </c>
      <c r="E142" s="7" t="s">
        <v>862</v>
      </c>
      <c r="F142" s="7" t="s">
        <v>863</v>
      </c>
      <c r="G142" s="7" t="s">
        <v>864</v>
      </c>
      <c r="H142" s="7" t="s">
        <v>865</v>
      </c>
      <c r="I142" s="7"/>
      <c r="J142" s="7" t="s">
        <v>866</v>
      </c>
      <c r="K142" s="7" t="s">
        <v>51</v>
      </c>
      <c r="L142" s="6" t="s">
        <v>67</v>
      </c>
      <c r="M142" s="7"/>
    </row>
    <row r="143" customFormat="false" ht="54" hidden="false" customHeight="true" outlineLevel="0" collapsed="false">
      <c r="A143" s="9" t="n">
        <v>142</v>
      </c>
      <c r="B143" s="10" t="s">
        <v>867</v>
      </c>
      <c r="C143" s="9" t="s">
        <v>44</v>
      </c>
      <c r="D143" s="10" t="s">
        <v>868</v>
      </c>
      <c r="E143" s="10" t="s">
        <v>869</v>
      </c>
      <c r="F143" s="10" t="s">
        <v>870</v>
      </c>
      <c r="G143" s="10" t="s">
        <v>871</v>
      </c>
      <c r="H143" s="10" t="s">
        <v>872</v>
      </c>
      <c r="I143" s="10"/>
      <c r="J143" s="10" t="s">
        <v>873</v>
      </c>
      <c r="K143" s="10" t="s">
        <v>51</v>
      </c>
      <c r="L143" s="9" t="s">
        <v>67</v>
      </c>
      <c r="M143" s="10"/>
    </row>
    <row r="144" customFormat="false" ht="54" hidden="false" customHeight="true" outlineLevel="0" collapsed="false">
      <c r="A144" s="6" t="n">
        <v>143</v>
      </c>
      <c r="B144" s="7" t="s">
        <v>874</v>
      </c>
      <c r="C144" s="6" t="s">
        <v>308</v>
      </c>
      <c r="D144" s="7" t="s">
        <v>69</v>
      </c>
      <c r="E144" s="7" t="s">
        <v>875</v>
      </c>
      <c r="F144" s="7" t="s">
        <v>876</v>
      </c>
      <c r="G144" s="7"/>
      <c r="H144" s="7"/>
      <c r="I144" s="7" t="s">
        <v>874</v>
      </c>
      <c r="J144" s="7" t="s">
        <v>877</v>
      </c>
      <c r="K144" s="7" t="s">
        <v>51</v>
      </c>
      <c r="L144" s="6" t="s">
        <v>67</v>
      </c>
      <c r="M144" s="7"/>
    </row>
    <row r="145" customFormat="false" ht="54" hidden="false" customHeight="true" outlineLevel="0" collapsed="false">
      <c r="A145" s="9" t="n">
        <v>144</v>
      </c>
      <c r="B145" s="10" t="s">
        <v>878</v>
      </c>
      <c r="C145" s="9" t="s">
        <v>44</v>
      </c>
      <c r="D145" s="10" t="s">
        <v>879</v>
      </c>
      <c r="E145" s="10" t="s">
        <v>880</v>
      </c>
      <c r="F145" s="10" t="s">
        <v>881</v>
      </c>
      <c r="G145" s="10" t="s">
        <v>882</v>
      </c>
      <c r="H145" s="10"/>
      <c r="I145" s="10"/>
      <c r="J145" s="10" t="s">
        <v>883</v>
      </c>
      <c r="K145" s="10" t="s">
        <v>51</v>
      </c>
      <c r="L145" s="9" t="s">
        <v>67</v>
      </c>
      <c r="M145" s="10"/>
    </row>
    <row r="146" customFormat="false" ht="54" hidden="false" customHeight="true" outlineLevel="0" collapsed="false">
      <c r="A146" s="6" t="n">
        <v>145</v>
      </c>
      <c r="B146" s="7" t="s">
        <v>884</v>
      </c>
      <c r="C146" s="6" t="s">
        <v>44</v>
      </c>
      <c r="D146" s="7" t="s">
        <v>885</v>
      </c>
      <c r="E146" s="7" t="s">
        <v>886</v>
      </c>
      <c r="F146" s="7" t="s">
        <v>887</v>
      </c>
      <c r="G146" s="7"/>
      <c r="H146" s="7" t="s">
        <v>888</v>
      </c>
      <c r="I146" s="7" t="s">
        <v>889</v>
      </c>
      <c r="J146" s="7" t="s">
        <v>890</v>
      </c>
      <c r="K146" s="7" t="s">
        <v>51</v>
      </c>
      <c r="L146" s="6" t="s">
        <v>67</v>
      </c>
      <c r="M146" s="7"/>
    </row>
    <row r="147" customFormat="false" ht="54" hidden="false" customHeight="true" outlineLevel="0" collapsed="false">
      <c r="A147" s="9" t="n">
        <v>146</v>
      </c>
      <c r="B147" s="10" t="s">
        <v>891</v>
      </c>
      <c r="C147" s="9" t="s">
        <v>44</v>
      </c>
      <c r="D147" s="10" t="s">
        <v>892</v>
      </c>
      <c r="E147" s="10" t="s">
        <v>893</v>
      </c>
      <c r="F147" s="10" t="s">
        <v>894</v>
      </c>
      <c r="G147" s="10" t="s">
        <v>895</v>
      </c>
      <c r="H147" s="10"/>
      <c r="I147" s="10"/>
      <c r="J147" s="10" t="s">
        <v>896</v>
      </c>
      <c r="K147" s="10" t="s">
        <v>51</v>
      </c>
      <c r="L147" s="8" t="s">
        <v>52</v>
      </c>
      <c r="M147" s="10"/>
    </row>
    <row r="148" customFormat="false" ht="54" hidden="false" customHeight="true" outlineLevel="0" collapsed="false">
      <c r="A148" s="6" t="n">
        <v>147</v>
      </c>
      <c r="B148" s="7" t="s">
        <v>897</v>
      </c>
      <c r="C148" s="6" t="s">
        <v>44</v>
      </c>
      <c r="D148" s="7" t="s">
        <v>898</v>
      </c>
      <c r="E148" s="7" t="s">
        <v>899</v>
      </c>
      <c r="F148" s="7" t="s">
        <v>900</v>
      </c>
      <c r="G148" s="7" t="s">
        <v>901</v>
      </c>
      <c r="H148" s="7"/>
      <c r="I148" s="7"/>
      <c r="J148" s="7" t="s">
        <v>902</v>
      </c>
      <c r="K148" s="7" t="s">
        <v>51</v>
      </c>
      <c r="L148" s="6" t="s">
        <v>67</v>
      </c>
      <c r="M148" s="7"/>
    </row>
    <row r="149" customFormat="false" ht="54" hidden="false" customHeight="true" outlineLevel="0" collapsed="false">
      <c r="A149" s="9" t="n">
        <v>148</v>
      </c>
      <c r="B149" s="10" t="s">
        <v>903</v>
      </c>
      <c r="C149" s="9" t="s">
        <v>44</v>
      </c>
      <c r="D149" s="10" t="s">
        <v>904</v>
      </c>
      <c r="E149" s="10" t="s">
        <v>905</v>
      </c>
      <c r="F149" s="10" t="s">
        <v>906</v>
      </c>
      <c r="G149" s="10" t="s">
        <v>907</v>
      </c>
      <c r="H149" s="10"/>
      <c r="I149" s="10"/>
      <c r="J149" s="10" t="s">
        <v>908</v>
      </c>
      <c r="K149" s="10" t="s">
        <v>51</v>
      </c>
      <c r="L149" s="9" t="s">
        <v>67</v>
      </c>
      <c r="M149" s="10"/>
    </row>
    <row r="150" customFormat="false" ht="54" hidden="false" customHeight="true" outlineLevel="0" collapsed="false">
      <c r="A150" s="6" t="n">
        <v>149</v>
      </c>
      <c r="B150" s="7" t="s">
        <v>909</v>
      </c>
      <c r="C150" s="6" t="s">
        <v>44</v>
      </c>
      <c r="D150" s="7" t="s">
        <v>892</v>
      </c>
      <c r="E150" s="7" t="s">
        <v>910</v>
      </c>
      <c r="F150" s="7" t="s">
        <v>911</v>
      </c>
      <c r="G150" s="7" t="s">
        <v>912</v>
      </c>
      <c r="H150" s="7"/>
      <c r="I150" s="7"/>
      <c r="J150" s="7" t="s">
        <v>913</v>
      </c>
      <c r="K150" s="7" t="s">
        <v>51</v>
      </c>
      <c r="L150" s="6" t="s">
        <v>67</v>
      </c>
      <c r="M150" s="7"/>
    </row>
    <row r="151" customFormat="false" ht="54" hidden="false" customHeight="true" outlineLevel="0" collapsed="false">
      <c r="A151" s="9" t="n">
        <v>150</v>
      </c>
      <c r="B151" s="10" t="s">
        <v>914</v>
      </c>
      <c r="C151" s="9" t="s">
        <v>161</v>
      </c>
      <c r="D151" s="10" t="s">
        <v>915</v>
      </c>
      <c r="E151" s="10" t="s">
        <v>916</v>
      </c>
      <c r="F151" s="10" t="s">
        <v>917</v>
      </c>
      <c r="G151" s="10"/>
      <c r="H151" s="10" t="s">
        <v>918</v>
      </c>
      <c r="I151" s="10"/>
      <c r="J151" s="10" t="s">
        <v>919</v>
      </c>
      <c r="K151" s="10" t="s">
        <v>125</v>
      </c>
      <c r="L151" s="8" t="s">
        <v>52</v>
      </c>
      <c r="M151" s="10"/>
    </row>
    <row r="152" customFormat="false" ht="54" hidden="false" customHeight="true" outlineLevel="0" collapsed="false">
      <c r="A152" s="6" t="n">
        <v>151</v>
      </c>
      <c r="B152" s="7" t="s">
        <v>920</v>
      </c>
      <c r="C152" s="6" t="s">
        <v>161</v>
      </c>
      <c r="D152" s="7" t="s">
        <v>69</v>
      </c>
      <c r="E152" s="7" t="s">
        <v>921</v>
      </c>
      <c r="F152" s="7" t="s">
        <v>922</v>
      </c>
      <c r="G152" s="7"/>
      <c r="H152" s="7" t="s">
        <v>923</v>
      </c>
      <c r="I152" s="7"/>
      <c r="J152" s="7" t="s">
        <v>924</v>
      </c>
      <c r="K152" s="7" t="s">
        <v>125</v>
      </c>
      <c r="L152" s="6" t="s">
        <v>67</v>
      </c>
      <c r="M152" s="7"/>
    </row>
    <row r="153" customFormat="false" ht="54" hidden="false" customHeight="true" outlineLevel="0" collapsed="false">
      <c r="A153" s="9" t="n">
        <v>152</v>
      </c>
      <c r="B153" s="10" t="s">
        <v>925</v>
      </c>
      <c r="C153" s="9" t="s">
        <v>308</v>
      </c>
      <c r="D153" s="10" t="s">
        <v>69</v>
      </c>
      <c r="E153" s="10" t="s">
        <v>926</v>
      </c>
      <c r="F153" s="10"/>
      <c r="G153" s="10"/>
      <c r="H153" s="10" t="s">
        <v>927</v>
      </c>
      <c r="I153" s="10" t="s">
        <v>928</v>
      </c>
      <c r="J153" s="10" t="s">
        <v>929</v>
      </c>
      <c r="K153" s="10" t="s">
        <v>51</v>
      </c>
      <c r="L153" s="9" t="s">
        <v>67</v>
      </c>
      <c r="M153" s="10"/>
    </row>
    <row r="154" customFormat="false" ht="54" hidden="false" customHeight="true" outlineLevel="0" collapsed="false">
      <c r="A154" s="6" t="n">
        <v>153</v>
      </c>
      <c r="B154" s="7" t="s">
        <v>930</v>
      </c>
      <c r="C154" s="6" t="s">
        <v>308</v>
      </c>
      <c r="D154" s="7" t="s">
        <v>69</v>
      </c>
      <c r="E154" s="7" t="s">
        <v>931</v>
      </c>
      <c r="F154" s="7"/>
      <c r="G154" s="7"/>
      <c r="H154" s="7" t="s">
        <v>90</v>
      </c>
      <c r="I154" s="7" t="s">
        <v>932</v>
      </c>
      <c r="J154" s="7" t="s">
        <v>933</v>
      </c>
      <c r="K154" s="7" t="s">
        <v>51</v>
      </c>
      <c r="L154" s="6" t="s">
        <v>67</v>
      </c>
      <c r="M154" s="7"/>
    </row>
    <row r="155" customFormat="false" ht="54" hidden="false" customHeight="true" outlineLevel="0" collapsed="false">
      <c r="A155" s="9" t="n">
        <v>154</v>
      </c>
      <c r="B155" s="10" t="s">
        <v>934</v>
      </c>
      <c r="C155" s="9" t="s">
        <v>308</v>
      </c>
      <c r="D155" s="10" t="s">
        <v>69</v>
      </c>
      <c r="E155" s="10" t="s">
        <v>935</v>
      </c>
      <c r="F155" s="10"/>
      <c r="G155" s="10"/>
      <c r="H155" s="10" t="s">
        <v>936</v>
      </c>
      <c r="I155" s="10" t="s">
        <v>937</v>
      </c>
      <c r="J155" s="10" t="s">
        <v>938</v>
      </c>
      <c r="K155" s="10" t="s">
        <v>51</v>
      </c>
      <c r="L155" s="9" t="s">
        <v>75</v>
      </c>
      <c r="M155" s="10"/>
    </row>
    <row r="156" customFormat="false" ht="54" hidden="false" customHeight="true" outlineLevel="0" collapsed="false">
      <c r="A156" s="6" t="n">
        <v>155</v>
      </c>
      <c r="B156" s="7" t="s">
        <v>479</v>
      </c>
      <c r="C156" s="6" t="s">
        <v>44</v>
      </c>
      <c r="D156" s="7" t="s">
        <v>939</v>
      </c>
      <c r="E156" s="7" t="s">
        <v>940</v>
      </c>
      <c r="F156" s="7" t="s">
        <v>482</v>
      </c>
      <c r="G156" s="7" t="s">
        <v>941</v>
      </c>
      <c r="H156" s="7"/>
      <c r="I156" s="7" t="s">
        <v>942</v>
      </c>
      <c r="J156" s="7" t="s">
        <v>943</v>
      </c>
      <c r="K156" s="7" t="s">
        <v>51</v>
      </c>
      <c r="L156" s="8" t="s">
        <v>52</v>
      </c>
      <c r="M156" s="7"/>
    </row>
    <row r="157" customFormat="false" ht="54" hidden="false" customHeight="true" outlineLevel="0" collapsed="false">
      <c r="A157" s="9" t="n">
        <v>156</v>
      </c>
      <c r="B157" s="10" t="s">
        <v>944</v>
      </c>
      <c r="C157" s="9" t="s">
        <v>44</v>
      </c>
      <c r="D157" s="10" t="s">
        <v>939</v>
      </c>
      <c r="E157" s="10" t="s">
        <v>469</v>
      </c>
      <c r="F157" s="10" t="s">
        <v>470</v>
      </c>
      <c r="G157" s="10" t="s">
        <v>471</v>
      </c>
      <c r="H157" s="10"/>
      <c r="I157" s="10"/>
      <c r="J157" s="10" t="s">
        <v>945</v>
      </c>
      <c r="K157" s="10" t="s">
        <v>51</v>
      </c>
      <c r="L157" s="9" t="s">
        <v>67</v>
      </c>
      <c r="M157" s="10"/>
    </row>
    <row r="158" customFormat="false" ht="54" hidden="false" customHeight="true" outlineLevel="0" collapsed="false">
      <c r="A158" s="6" t="n">
        <v>157</v>
      </c>
      <c r="B158" s="7" t="s">
        <v>946</v>
      </c>
      <c r="C158" s="6" t="s">
        <v>44</v>
      </c>
      <c r="D158" s="7" t="s">
        <v>939</v>
      </c>
      <c r="E158" s="7" t="s">
        <v>947</v>
      </c>
      <c r="F158" s="7"/>
      <c r="G158" s="7" t="s">
        <v>948</v>
      </c>
      <c r="H158" s="7"/>
      <c r="I158" s="7"/>
      <c r="J158" s="7" t="s">
        <v>949</v>
      </c>
      <c r="K158" s="7" t="s">
        <v>51</v>
      </c>
      <c r="L158" s="6" t="s">
        <v>67</v>
      </c>
      <c r="M158" s="7"/>
    </row>
    <row r="159" customFormat="false" ht="54" hidden="false" customHeight="true" outlineLevel="0" collapsed="false">
      <c r="A159" s="9" t="n">
        <v>158</v>
      </c>
      <c r="B159" s="10" t="s">
        <v>950</v>
      </c>
      <c r="C159" s="9" t="s">
        <v>44</v>
      </c>
      <c r="D159" s="10" t="s">
        <v>939</v>
      </c>
      <c r="E159" s="10" t="s">
        <v>951</v>
      </c>
      <c r="F159" s="10" t="s">
        <v>952</v>
      </c>
      <c r="G159" s="10" t="s">
        <v>953</v>
      </c>
      <c r="H159" s="10"/>
      <c r="I159" s="10"/>
      <c r="J159" s="10" t="s">
        <v>954</v>
      </c>
      <c r="K159" s="10" t="s">
        <v>51</v>
      </c>
      <c r="L159" s="9" t="s">
        <v>67</v>
      </c>
      <c r="M159" s="10"/>
    </row>
    <row r="160" customFormat="false" ht="54" hidden="false" customHeight="true" outlineLevel="0" collapsed="false">
      <c r="A160" s="6" t="n">
        <v>159</v>
      </c>
      <c r="B160" s="7" t="s">
        <v>606</v>
      </c>
      <c r="C160" s="6" t="s">
        <v>44</v>
      </c>
      <c r="D160" s="7" t="s">
        <v>576</v>
      </c>
      <c r="E160" s="7" t="s">
        <v>955</v>
      </c>
      <c r="F160" s="7" t="s">
        <v>608</v>
      </c>
      <c r="G160" s="7" t="s">
        <v>609</v>
      </c>
      <c r="H160" s="7"/>
      <c r="I160" s="7"/>
      <c r="J160" s="7" t="s">
        <v>956</v>
      </c>
      <c r="K160" s="7" t="s">
        <v>51</v>
      </c>
      <c r="L160" s="6" t="s">
        <v>67</v>
      </c>
      <c r="M160" s="7"/>
    </row>
    <row r="161" customFormat="false" ht="54" hidden="false" customHeight="true" outlineLevel="0" collapsed="false">
      <c r="A161" s="9" t="n">
        <v>160</v>
      </c>
      <c r="B161" s="10" t="s">
        <v>957</v>
      </c>
      <c r="C161" s="9" t="s">
        <v>44</v>
      </c>
      <c r="D161" s="10" t="s">
        <v>958</v>
      </c>
      <c r="E161" s="10" t="s">
        <v>422</v>
      </c>
      <c r="F161" s="10"/>
      <c r="G161" s="10" t="s">
        <v>959</v>
      </c>
      <c r="H161" s="10"/>
      <c r="I161" s="10"/>
      <c r="J161" s="10" t="s">
        <v>960</v>
      </c>
      <c r="K161" s="10" t="s">
        <v>51</v>
      </c>
      <c r="L161" s="9" t="s">
        <v>67</v>
      </c>
      <c r="M161" s="10"/>
    </row>
    <row r="162" customFormat="false" ht="54" hidden="false" customHeight="true" outlineLevel="0" collapsed="false">
      <c r="A162" s="6" t="n">
        <v>161</v>
      </c>
      <c r="B162" s="7" t="s">
        <v>961</v>
      </c>
      <c r="C162" s="6" t="s">
        <v>44</v>
      </c>
      <c r="D162" s="7" t="s">
        <v>69</v>
      </c>
      <c r="E162" s="7" t="s">
        <v>962</v>
      </c>
      <c r="F162" s="7"/>
      <c r="G162" s="7"/>
      <c r="H162" s="7"/>
      <c r="I162" s="7"/>
      <c r="J162" s="7" t="s">
        <v>963</v>
      </c>
      <c r="K162" s="7" t="s">
        <v>51</v>
      </c>
      <c r="L162" s="6" t="s">
        <v>75</v>
      </c>
      <c r="M162" s="7"/>
    </row>
    <row r="163" customFormat="false" ht="54" hidden="false" customHeight="true" outlineLevel="0" collapsed="false">
      <c r="A163" s="9" t="n">
        <v>162</v>
      </c>
      <c r="B163" s="10" t="s">
        <v>173</v>
      </c>
      <c r="C163" s="9" t="s">
        <v>161</v>
      </c>
      <c r="D163" s="10" t="s">
        <v>69</v>
      </c>
      <c r="E163" s="10" t="s">
        <v>174</v>
      </c>
      <c r="F163" s="10" t="s">
        <v>175</v>
      </c>
      <c r="G163" s="10" t="s">
        <v>964</v>
      </c>
      <c r="H163" s="10" t="s">
        <v>965</v>
      </c>
      <c r="I163" s="10" t="s">
        <v>966</v>
      </c>
      <c r="J163" s="10" t="s">
        <v>967</v>
      </c>
      <c r="K163" s="10" t="s">
        <v>125</v>
      </c>
      <c r="L163" s="8" t="s">
        <v>52</v>
      </c>
      <c r="M163" s="10"/>
    </row>
    <row r="164" customFormat="false" ht="54" hidden="false" customHeight="true" outlineLevel="0" collapsed="false">
      <c r="A164" s="6" t="n">
        <v>163</v>
      </c>
      <c r="B164" s="7" t="s">
        <v>968</v>
      </c>
      <c r="C164" s="6" t="s">
        <v>161</v>
      </c>
      <c r="D164" s="7" t="s">
        <v>69</v>
      </c>
      <c r="E164" s="7" t="s">
        <v>182</v>
      </c>
      <c r="F164" s="7" t="s">
        <v>969</v>
      </c>
      <c r="G164" s="7"/>
      <c r="H164" s="7" t="s">
        <v>970</v>
      </c>
      <c r="I164" s="7" t="s">
        <v>971</v>
      </c>
      <c r="J164" s="7" t="s">
        <v>972</v>
      </c>
      <c r="K164" s="7" t="s">
        <v>125</v>
      </c>
      <c r="L164" s="8" t="s">
        <v>52</v>
      </c>
      <c r="M164" s="7"/>
    </row>
    <row r="165" customFormat="false" ht="54" hidden="false" customHeight="true" outlineLevel="0" collapsed="false">
      <c r="A165" s="9" t="n">
        <v>164</v>
      </c>
      <c r="B165" s="10" t="s">
        <v>187</v>
      </c>
      <c r="C165" s="9" t="s">
        <v>161</v>
      </c>
      <c r="D165" s="10" t="s">
        <v>69</v>
      </c>
      <c r="E165" s="10" t="s">
        <v>188</v>
      </c>
      <c r="F165" s="10" t="s">
        <v>189</v>
      </c>
      <c r="G165" s="10" t="s">
        <v>190</v>
      </c>
      <c r="H165" s="10" t="s">
        <v>973</v>
      </c>
      <c r="I165" s="10" t="s">
        <v>974</v>
      </c>
      <c r="J165" s="10" t="s">
        <v>975</v>
      </c>
      <c r="K165" s="10" t="s">
        <v>125</v>
      </c>
      <c r="L165" s="8" t="s">
        <v>52</v>
      </c>
      <c r="M165" s="10"/>
    </row>
    <row r="166" customFormat="false" ht="54" hidden="false" customHeight="true" outlineLevel="0" collapsed="false">
      <c r="A166" s="6" t="n">
        <v>165</v>
      </c>
      <c r="B166" s="7" t="s">
        <v>976</v>
      </c>
      <c r="C166" s="6" t="s">
        <v>44</v>
      </c>
      <c r="D166" s="7" t="s">
        <v>268</v>
      </c>
      <c r="E166" s="7" t="s">
        <v>977</v>
      </c>
      <c r="F166" s="7"/>
      <c r="G166" s="7" t="s">
        <v>978</v>
      </c>
      <c r="H166" s="7"/>
      <c r="I166" s="7"/>
      <c r="J166" s="7" t="s">
        <v>979</v>
      </c>
      <c r="K166" s="7" t="s">
        <v>51</v>
      </c>
      <c r="L166" s="6" t="s">
        <v>67</v>
      </c>
      <c r="M166" s="7"/>
    </row>
    <row r="167" customFormat="false" ht="54" hidden="false" customHeight="true" outlineLevel="0" collapsed="false">
      <c r="A167" s="9" t="n">
        <v>166</v>
      </c>
      <c r="B167" s="10" t="s">
        <v>413</v>
      </c>
      <c r="C167" s="9" t="s">
        <v>44</v>
      </c>
      <c r="D167" s="10" t="s">
        <v>414</v>
      </c>
      <c r="E167" s="10" t="s">
        <v>980</v>
      </c>
      <c r="F167" s="10" t="s">
        <v>416</v>
      </c>
      <c r="G167" s="10" t="s">
        <v>417</v>
      </c>
      <c r="H167" s="10"/>
      <c r="I167" s="10"/>
      <c r="J167" s="10" t="s">
        <v>981</v>
      </c>
      <c r="K167" s="10" t="s">
        <v>51</v>
      </c>
      <c r="L167" s="9" t="s">
        <v>67</v>
      </c>
      <c r="M167" s="10"/>
    </row>
    <row r="168" customFormat="false" ht="54" hidden="false" customHeight="true" outlineLevel="0" collapsed="false">
      <c r="A168" s="6" t="n">
        <v>167</v>
      </c>
      <c r="B168" s="7" t="s">
        <v>262</v>
      </c>
      <c r="C168" s="6" t="s">
        <v>44</v>
      </c>
      <c r="D168" s="7" t="s">
        <v>982</v>
      </c>
      <c r="E168" s="7" t="s">
        <v>263</v>
      </c>
      <c r="F168" s="7"/>
      <c r="G168" s="7" t="s">
        <v>264</v>
      </c>
      <c r="H168" s="7"/>
      <c r="I168" s="7"/>
      <c r="J168" s="7" t="s">
        <v>983</v>
      </c>
      <c r="K168" s="7" t="s">
        <v>51</v>
      </c>
      <c r="L168" s="6" t="s">
        <v>67</v>
      </c>
      <c r="M168" s="7"/>
    </row>
    <row r="169" customFormat="false" ht="54" hidden="false" customHeight="true" outlineLevel="0" collapsed="false">
      <c r="A169" s="9" t="n">
        <v>168</v>
      </c>
      <c r="B169" s="10" t="s">
        <v>984</v>
      </c>
      <c r="C169" s="9" t="s">
        <v>44</v>
      </c>
      <c r="D169" s="10" t="s">
        <v>985</v>
      </c>
      <c r="E169" s="10" t="s">
        <v>986</v>
      </c>
      <c r="F169" s="10" t="s">
        <v>987</v>
      </c>
      <c r="G169" s="10" t="s">
        <v>988</v>
      </c>
      <c r="H169" s="10"/>
      <c r="I169" s="10"/>
      <c r="J169" s="10" t="s">
        <v>989</v>
      </c>
      <c r="K169" s="10" t="s">
        <v>51</v>
      </c>
      <c r="L169" s="9" t="s">
        <v>67</v>
      </c>
      <c r="M169" s="10"/>
    </row>
    <row r="170" customFormat="false" ht="54" hidden="false" customHeight="true" outlineLevel="0" collapsed="false">
      <c r="A170" s="6" t="n">
        <v>169</v>
      </c>
      <c r="B170" s="7" t="s">
        <v>990</v>
      </c>
      <c r="C170" s="6" t="s">
        <v>44</v>
      </c>
      <c r="D170" s="7" t="s">
        <v>991</v>
      </c>
      <c r="E170" s="7" t="s">
        <v>992</v>
      </c>
      <c r="F170" s="7"/>
      <c r="G170" s="7" t="s">
        <v>993</v>
      </c>
      <c r="H170" s="7"/>
      <c r="I170" s="7"/>
      <c r="J170" s="7" t="s">
        <v>994</v>
      </c>
      <c r="K170" s="7" t="s">
        <v>51</v>
      </c>
      <c r="L170" s="6" t="s">
        <v>67</v>
      </c>
      <c r="M170" s="7"/>
    </row>
    <row r="171" customFormat="false" ht="54" hidden="false" customHeight="true" outlineLevel="0" collapsed="false">
      <c r="A171" s="9" t="n">
        <v>170</v>
      </c>
      <c r="B171" s="10" t="s">
        <v>249</v>
      </c>
      <c r="C171" s="9" t="s">
        <v>44</v>
      </c>
      <c r="D171" s="10" t="s">
        <v>995</v>
      </c>
      <c r="E171" s="10" t="s">
        <v>251</v>
      </c>
      <c r="F171" s="10" t="s">
        <v>252</v>
      </c>
      <c r="G171" s="10" t="s">
        <v>253</v>
      </c>
      <c r="H171" s="10"/>
      <c r="I171" s="10"/>
      <c r="J171" s="10" t="s">
        <v>996</v>
      </c>
      <c r="K171" s="10" t="s">
        <v>51</v>
      </c>
      <c r="L171" s="9" t="s">
        <v>67</v>
      </c>
      <c r="M171" s="10"/>
    </row>
    <row r="172" customFormat="false" ht="54" hidden="false" customHeight="true" outlineLevel="0" collapsed="false">
      <c r="A172" s="6" t="n">
        <v>171</v>
      </c>
      <c r="B172" s="7" t="s">
        <v>812</v>
      </c>
      <c r="C172" s="6" t="s">
        <v>161</v>
      </c>
      <c r="D172" s="7" t="s">
        <v>997</v>
      </c>
      <c r="E172" s="7" t="s">
        <v>814</v>
      </c>
      <c r="F172" s="7"/>
      <c r="G172" s="7"/>
      <c r="H172" s="7" t="s">
        <v>998</v>
      </c>
      <c r="I172" s="7"/>
      <c r="J172" s="7" t="s">
        <v>999</v>
      </c>
      <c r="K172" s="7" t="s">
        <v>125</v>
      </c>
      <c r="L172" s="8" t="s">
        <v>52</v>
      </c>
      <c r="M172" s="7"/>
    </row>
    <row r="173" customFormat="false" ht="54" hidden="false" customHeight="true" outlineLevel="0" collapsed="false">
      <c r="A173" s="9" t="n">
        <v>172</v>
      </c>
      <c r="B173" s="10" t="s">
        <v>1000</v>
      </c>
      <c r="C173" s="9" t="s">
        <v>44</v>
      </c>
      <c r="D173" s="10" t="s">
        <v>221</v>
      </c>
      <c r="E173" s="10" t="s">
        <v>1001</v>
      </c>
      <c r="F173" s="10" t="s">
        <v>1002</v>
      </c>
      <c r="G173" s="10" t="s">
        <v>1003</v>
      </c>
      <c r="H173" s="10"/>
      <c r="I173" s="10"/>
      <c r="J173" s="10" t="s">
        <v>1004</v>
      </c>
      <c r="K173" s="10" t="s">
        <v>51</v>
      </c>
      <c r="L173" s="9" t="s">
        <v>67</v>
      </c>
      <c r="M173" s="10"/>
    </row>
    <row r="174" customFormat="false" ht="54" hidden="false" customHeight="true" outlineLevel="0" collapsed="false">
      <c r="A174" s="6" t="n">
        <v>173</v>
      </c>
      <c r="B174" s="7" t="s">
        <v>220</v>
      </c>
      <c r="C174" s="6" t="s">
        <v>44</v>
      </c>
      <c r="D174" s="7" t="s">
        <v>221</v>
      </c>
      <c r="E174" s="7" t="s">
        <v>222</v>
      </c>
      <c r="F174" s="7" t="s">
        <v>223</v>
      </c>
      <c r="G174" s="7" t="s">
        <v>1005</v>
      </c>
      <c r="H174" s="7"/>
      <c r="I174" s="7"/>
      <c r="J174" s="7" t="s">
        <v>1006</v>
      </c>
      <c r="K174" s="7" t="s">
        <v>51</v>
      </c>
      <c r="L174" s="6" t="s">
        <v>67</v>
      </c>
      <c r="M174" s="7"/>
    </row>
    <row r="175" customFormat="false" ht="54" hidden="false" customHeight="true" outlineLevel="0" collapsed="false">
      <c r="A175" s="9" t="n">
        <v>174</v>
      </c>
      <c r="B175" s="10" t="s">
        <v>1007</v>
      </c>
      <c r="C175" s="9" t="s">
        <v>44</v>
      </c>
      <c r="D175" s="10" t="s">
        <v>1008</v>
      </c>
      <c r="E175" s="10" t="s">
        <v>1009</v>
      </c>
      <c r="F175" s="10" t="s">
        <v>1010</v>
      </c>
      <c r="G175" s="10" t="s">
        <v>1011</v>
      </c>
      <c r="H175" s="10"/>
      <c r="I175" s="10"/>
      <c r="J175" s="10" t="s">
        <v>1012</v>
      </c>
      <c r="K175" s="10" t="s">
        <v>51</v>
      </c>
      <c r="L175" s="9" t="s">
        <v>67</v>
      </c>
      <c r="M175" s="10"/>
    </row>
    <row r="176" customFormat="false" ht="54" hidden="false" customHeight="true" outlineLevel="0" collapsed="false">
      <c r="A176" s="6" t="n">
        <v>175</v>
      </c>
      <c r="B176" s="7" t="s">
        <v>295</v>
      </c>
      <c r="C176" s="6" t="s">
        <v>161</v>
      </c>
      <c r="D176" s="7" t="s">
        <v>296</v>
      </c>
      <c r="E176" s="7" t="s">
        <v>297</v>
      </c>
      <c r="F176" s="7"/>
      <c r="G176" s="7" t="s">
        <v>299</v>
      </c>
      <c r="H176" s="7" t="s">
        <v>1013</v>
      </c>
      <c r="I176" s="7" t="s">
        <v>1014</v>
      </c>
      <c r="J176" s="7" t="s">
        <v>1015</v>
      </c>
      <c r="K176" s="7" t="s">
        <v>125</v>
      </c>
      <c r="L176" s="8" t="s">
        <v>52</v>
      </c>
      <c r="M176" s="7"/>
    </row>
    <row r="177" customFormat="false" ht="54" hidden="false" customHeight="true" outlineLevel="0" collapsed="false">
      <c r="A177" s="9" t="n">
        <v>176</v>
      </c>
      <c r="B177" s="10" t="s">
        <v>192</v>
      </c>
      <c r="C177" s="9" t="s">
        <v>161</v>
      </c>
      <c r="D177" s="10" t="s">
        <v>193</v>
      </c>
      <c r="E177" s="10" t="s">
        <v>194</v>
      </c>
      <c r="F177" s="10" t="s">
        <v>195</v>
      </c>
      <c r="G177" s="10" t="s">
        <v>1016</v>
      </c>
      <c r="H177" s="10" t="s">
        <v>1017</v>
      </c>
      <c r="I177" s="10"/>
      <c r="J177" s="10" t="s">
        <v>1018</v>
      </c>
      <c r="K177" s="10" t="s">
        <v>125</v>
      </c>
      <c r="L177" s="8" t="s">
        <v>52</v>
      </c>
      <c r="M177" s="10"/>
    </row>
    <row r="178" customFormat="false" ht="54" hidden="false" customHeight="true" outlineLevel="0" collapsed="false">
      <c r="A178" s="6" t="n">
        <v>177</v>
      </c>
      <c r="B178" s="7" t="s">
        <v>199</v>
      </c>
      <c r="C178" s="6" t="s">
        <v>44</v>
      </c>
      <c r="D178" s="7" t="s">
        <v>1019</v>
      </c>
      <c r="E178" s="7" t="s">
        <v>201</v>
      </c>
      <c r="F178" s="7"/>
      <c r="G178" s="7" t="s">
        <v>202</v>
      </c>
      <c r="H178" s="7"/>
      <c r="I178" s="7"/>
      <c r="J178" s="7" t="s">
        <v>1020</v>
      </c>
      <c r="K178" s="7" t="s">
        <v>51</v>
      </c>
      <c r="L178" s="6" t="s">
        <v>67</v>
      </c>
      <c r="M178" s="7"/>
    </row>
    <row r="179" customFormat="false" ht="54" hidden="false" customHeight="true" outlineLevel="0" collapsed="false">
      <c r="A179" s="9" t="n">
        <v>178</v>
      </c>
      <c r="B179" s="10" t="s">
        <v>1021</v>
      </c>
      <c r="C179" s="9" t="s">
        <v>44</v>
      </c>
      <c r="D179" s="10" t="s">
        <v>1019</v>
      </c>
      <c r="E179" s="10" t="s">
        <v>1022</v>
      </c>
      <c r="F179" s="10" t="s">
        <v>1023</v>
      </c>
      <c r="G179" s="10" t="s">
        <v>1024</v>
      </c>
      <c r="H179" s="10"/>
      <c r="I179" s="10" t="s">
        <v>1025</v>
      </c>
      <c r="J179" s="10" t="s">
        <v>1026</v>
      </c>
      <c r="K179" s="10" t="s">
        <v>51</v>
      </c>
      <c r="L179" s="9" t="s">
        <v>67</v>
      </c>
      <c r="M179" s="10"/>
    </row>
    <row r="180" customFormat="false" ht="54" hidden="false" customHeight="true" outlineLevel="0" collapsed="false">
      <c r="A180" s="6" t="n">
        <v>179</v>
      </c>
      <c r="B180" s="7" t="s">
        <v>1027</v>
      </c>
      <c r="C180" s="6" t="s">
        <v>44</v>
      </c>
      <c r="D180" s="7" t="s">
        <v>69</v>
      </c>
      <c r="E180" s="7" t="s">
        <v>1028</v>
      </c>
      <c r="F180" s="7"/>
      <c r="G180" s="7"/>
      <c r="H180" s="7" t="s">
        <v>1029</v>
      </c>
      <c r="I180" s="7"/>
      <c r="J180" s="7" t="s">
        <v>1030</v>
      </c>
      <c r="K180" s="7" t="s">
        <v>125</v>
      </c>
      <c r="L180" s="6" t="s">
        <v>67</v>
      </c>
      <c r="M180" s="7"/>
    </row>
    <row r="181" customFormat="false" ht="54" hidden="false" customHeight="true" outlineLevel="0" collapsed="false">
      <c r="A181" s="9" t="n">
        <v>180</v>
      </c>
      <c r="B181" s="10" t="s">
        <v>104</v>
      </c>
      <c r="C181" s="9" t="s">
        <v>44</v>
      </c>
      <c r="D181" s="10" t="s">
        <v>1031</v>
      </c>
      <c r="E181" s="10" t="s">
        <v>1032</v>
      </c>
      <c r="F181" s="10"/>
      <c r="G181" s="10" t="s">
        <v>1033</v>
      </c>
      <c r="H181" s="10"/>
      <c r="I181" s="10"/>
      <c r="J181" s="10" t="s">
        <v>1034</v>
      </c>
      <c r="K181" s="10" t="s">
        <v>51</v>
      </c>
      <c r="L181" s="9" t="s">
        <v>67</v>
      </c>
      <c r="M181" s="10"/>
    </row>
    <row r="182" customFormat="false" ht="54" hidden="false" customHeight="true" outlineLevel="0" collapsed="false">
      <c r="A182" s="6" t="n">
        <v>181</v>
      </c>
      <c r="B182" s="7" t="s">
        <v>1035</v>
      </c>
      <c r="C182" s="6" t="s">
        <v>44</v>
      </c>
      <c r="D182" s="7" t="s">
        <v>69</v>
      </c>
      <c r="E182" s="7" t="s">
        <v>1036</v>
      </c>
      <c r="F182" s="7"/>
      <c r="G182" s="7"/>
      <c r="H182" s="7" t="s">
        <v>1037</v>
      </c>
      <c r="I182" s="7"/>
      <c r="J182" s="7" t="s">
        <v>1038</v>
      </c>
      <c r="K182" s="7" t="s">
        <v>51</v>
      </c>
      <c r="L182" s="6" t="s">
        <v>75</v>
      </c>
      <c r="M182" s="7"/>
    </row>
    <row r="183" customFormat="false" ht="54" hidden="false" customHeight="true" outlineLevel="0" collapsed="false">
      <c r="A183" s="9" t="n">
        <v>182</v>
      </c>
      <c r="B183" s="10" t="s">
        <v>1039</v>
      </c>
      <c r="C183" s="9" t="s">
        <v>44</v>
      </c>
      <c r="D183" s="10" t="s">
        <v>69</v>
      </c>
      <c r="E183" s="10" t="s">
        <v>1040</v>
      </c>
      <c r="F183" s="10" t="s">
        <v>1041</v>
      </c>
      <c r="G183" s="10"/>
      <c r="H183" s="10" t="s">
        <v>1042</v>
      </c>
      <c r="I183" s="10"/>
      <c r="J183" s="10" t="s">
        <v>1043</v>
      </c>
      <c r="K183" s="10" t="s">
        <v>51</v>
      </c>
      <c r="L183" s="9" t="s">
        <v>67</v>
      </c>
      <c r="M183" s="10"/>
    </row>
    <row r="184" customFormat="false" ht="54" hidden="false" customHeight="true" outlineLevel="0" collapsed="false">
      <c r="A184" s="6" t="n">
        <v>183</v>
      </c>
      <c r="B184" s="7" t="s">
        <v>1044</v>
      </c>
      <c r="C184" s="6" t="s">
        <v>44</v>
      </c>
      <c r="D184" s="7" t="s">
        <v>139</v>
      </c>
      <c r="E184" s="7" t="s">
        <v>1045</v>
      </c>
      <c r="F184" s="7"/>
      <c r="G184" s="7"/>
      <c r="H184" s="7" t="s">
        <v>1046</v>
      </c>
      <c r="I184" s="7"/>
      <c r="J184" s="7" t="s">
        <v>1047</v>
      </c>
      <c r="K184" s="7" t="s">
        <v>51</v>
      </c>
      <c r="L184" s="8" t="s">
        <v>52</v>
      </c>
      <c r="M184" s="7"/>
    </row>
    <row r="185" customFormat="false" ht="54" hidden="false" customHeight="true" outlineLevel="0" collapsed="false">
      <c r="A185" s="9" t="n">
        <v>184</v>
      </c>
      <c r="B185" s="10" t="s">
        <v>1048</v>
      </c>
      <c r="C185" s="9" t="s">
        <v>44</v>
      </c>
      <c r="D185" s="10" t="s">
        <v>1049</v>
      </c>
      <c r="E185" s="10" t="s">
        <v>1050</v>
      </c>
      <c r="F185" s="10" t="s">
        <v>1051</v>
      </c>
      <c r="G185" s="10"/>
      <c r="H185" s="10" t="s">
        <v>1052</v>
      </c>
      <c r="I185" s="10"/>
      <c r="J185" s="10" t="s">
        <v>1053</v>
      </c>
      <c r="K185" s="10" t="s">
        <v>51</v>
      </c>
      <c r="L185" s="9" t="s">
        <v>67</v>
      </c>
      <c r="M185" s="10"/>
    </row>
    <row r="186" customFormat="false" ht="54" hidden="false" customHeight="true" outlineLevel="0" collapsed="false">
      <c r="A186" s="6" t="n">
        <v>185</v>
      </c>
      <c r="B186" s="7" t="s">
        <v>1054</v>
      </c>
      <c r="C186" s="6" t="s">
        <v>44</v>
      </c>
      <c r="D186" s="7" t="s">
        <v>1055</v>
      </c>
      <c r="E186" s="7" t="s">
        <v>1056</v>
      </c>
      <c r="F186" s="7"/>
      <c r="G186" s="7"/>
      <c r="H186" s="7" t="s">
        <v>1057</v>
      </c>
      <c r="I186" s="7"/>
      <c r="J186" s="7" t="s">
        <v>1058</v>
      </c>
      <c r="K186" s="7" t="s">
        <v>51</v>
      </c>
      <c r="L186" s="8" t="s">
        <v>52</v>
      </c>
      <c r="M186" s="7"/>
    </row>
    <row r="187" customFormat="false" ht="54" hidden="false" customHeight="true" outlineLevel="0" collapsed="false">
      <c r="A187" s="9" t="n">
        <v>186</v>
      </c>
      <c r="B187" s="10" t="s">
        <v>1059</v>
      </c>
      <c r="C187" s="9" t="s">
        <v>44</v>
      </c>
      <c r="D187" s="10" t="s">
        <v>1060</v>
      </c>
      <c r="E187" s="10" t="s">
        <v>1061</v>
      </c>
      <c r="F187" s="10"/>
      <c r="G187" s="10" t="s">
        <v>1062</v>
      </c>
      <c r="H187" s="10" t="s">
        <v>1063</v>
      </c>
      <c r="I187" s="10"/>
      <c r="J187" s="10" t="s">
        <v>1064</v>
      </c>
      <c r="K187" s="10" t="s">
        <v>51</v>
      </c>
      <c r="L187" s="9" t="s">
        <v>67</v>
      </c>
      <c r="M187" s="10"/>
    </row>
    <row r="188" customFormat="false" ht="54" hidden="false" customHeight="true" outlineLevel="0" collapsed="false">
      <c r="A188" s="6" t="n">
        <v>187</v>
      </c>
      <c r="B188" s="7" t="s">
        <v>1065</v>
      </c>
      <c r="C188" s="6" t="s">
        <v>44</v>
      </c>
      <c r="D188" s="7" t="s">
        <v>1066</v>
      </c>
      <c r="E188" s="7" t="s">
        <v>1067</v>
      </c>
      <c r="F188" s="7" t="s">
        <v>1068</v>
      </c>
      <c r="G188" s="7" t="s">
        <v>1069</v>
      </c>
      <c r="H188" s="7" t="s">
        <v>1070</v>
      </c>
      <c r="I188" s="7"/>
      <c r="J188" s="7" t="s">
        <v>1071</v>
      </c>
      <c r="K188" s="7" t="s">
        <v>51</v>
      </c>
      <c r="L188" s="8" t="s">
        <v>52</v>
      </c>
      <c r="M188" s="7"/>
    </row>
    <row r="189" customFormat="false" ht="54" hidden="false" customHeight="true" outlineLevel="0" collapsed="false">
      <c r="A189" s="9" t="n">
        <v>188</v>
      </c>
      <c r="B189" s="10" t="s">
        <v>1072</v>
      </c>
      <c r="C189" s="9" t="s">
        <v>44</v>
      </c>
      <c r="D189" s="10" t="s">
        <v>1073</v>
      </c>
      <c r="E189" s="10" t="s">
        <v>1074</v>
      </c>
      <c r="F189" s="10" t="s">
        <v>1075</v>
      </c>
      <c r="G189" s="10" t="s">
        <v>1076</v>
      </c>
      <c r="H189" s="10" t="s">
        <v>1077</v>
      </c>
      <c r="I189" s="10"/>
      <c r="J189" s="10" t="s">
        <v>1078</v>
      </c>
      <c r="K189" s="10" t="s">
        <v>51</v>
      </c>
      <c r="L189" s="9" t="s">
        <v>67</v>
      </c>
      <c r="M189" s="10"/>
    </row>
    <row r="190" customFormat="false" ht="54" hidden="false" customHeight="true" outlineLevel="0" collapsed="false">
      <c r="A190" s="6" t="n">
        <v>189</v>
      </c>
      <c r="B190" s="7" t="s">
        <v>1079</v>
      </c>
      <c r="C190" s="6" t="s">
        <v>44</v>
      </c>
      <c r="D190" s="7" t="s">
        <v>69</v>
      </c>
      <c r="E190" s="7" t="s">
        <v>1080</v>
      </c>
      <c r="F190" s="7"/>
      <c r="G190" s="7" t="s">
        <v>1081</v>
      </c>
      <c r="H190" s="7" t="s">
        <v>1082</v>
      </c>
      <c r="I190" s="7" t="s">
        <v>1083</v>
      </c>
      <c r="J190" s="7" t="s">
        <v>1084</v>
      </c>
      <c r="K190" s="7" t="s">
        <v>51</v>
      </c>
      <c r="L190" s="8" t="s">
        <v>52</v>
      </c>
      <c r="M190" s="7"/>
    </row>
    <row r="191" customFormat="false" ht="54" hidden="false" customHeight="true" outlineLevel="0" collapsed="false">
      <c r="A191" s="9" t="n">
        <v>190</v>
      </c>
      <c r="B191" s="10" t="s">
        <v>1085</v>
      </c>
      <c r="C191" s="9" t="s">
        <v>44</v>
      </c>
      <c r="D191" s="10" t="s">
        <v>340</v>
      </c>
      <c r="E191" s="10" t="s">
        <v>1086</v>
      </c>
      <c r="F191" s="10"/>
      <c r="G191" s="10" t="s">
        <v>1087</v>
      </c>
      <c r="H191" s="10" t="s">
        <v>1088</v>
      </c>
      <c r="I191" s="10"/>
      <c r="J191" s="10" t="s">
        <v>1089</v>
      </c>
      <c r="K191" s="10" t="s">
        <v>51</v>
      </c>
      <c r="L191" s="9" t="s">
        <v>67</v>
      </c>
      <c r="M191" s="10"/>
    </row>
    <row r="192" customFormat="false" ht="54" hidden="false" customHeight="true" outlineLevel="0" collapsed="false">
      <c r="A192" s="6" t="n">
        <v>191</v>
      </c>
      <c r="B192" s="7" t="s">
        <v>1090</v>
      </c>
      <c r="C192" s="6" t="s">
        <v>44</v>
      </c>
      <c r="D192" s="7" t="s">
        <v>139</v>
      </c>
      <c r="E192" s="7" t="s">
        <v>1091</v>
      </c>
      <c r="F192" s="7" t="s">
        <v>1092</v>
      </c>
      <c r="G192" s="7"/>
      <c r="H192" s="7" t="s">
        <v>1093</v>
      </c>
      <c r="I192" s="7"/>
      <c r="J192" s="7" t="s">
        <v>1094</v>
      </c>
      <c r="K192" s="7" t="s">
        <v>51</v>
      </c>
      <c r="L192" s="6" t="s">
        <v>67</v>
      </c>
      <c r="M192" s="7"/>
    </row>
    <row r="193" customFormat="false" ht="54" hidden="false" customHeight="true" outlineLevel="0" collapsed="false">
      <c r="A193" s="9" t="n">
        <v>192</v>
      </c>
      <c r="B193" s="10" t="s">
        <v>1095</v>
      </c>
      <c r="C193" s="9" t="s">
        <v>44</v>
      </c>
      <c r="D193" s="10" t="s">
        <v>388</v>
      </c>
      <c r="E193" s="10" t="s">
        <v>1096</v>
      </c>
      <c r="F193" s="10" t="s">
        <v>1097</v>
      </c>
      <c r="G193" s="10"/>
      <c r="H193" s="10" t="s">
        <v>1098</v>
      </c>
      <c r="I193" s="10"/>
      <c r="J193" s="10" t="s">
        <v>1099</v>
      </c>
      <c r="K193" s="10" t="s">
        <v>125</v>
      </c>
      <c r="L193" s="8" t="s">
        <v>52</v>
      </c>
      <c r="M193" s="10"/>
    </row>
    <row r="194" customFormat="false" ht="54" hidden="false" customHeight="true" outlineLevel="0" collapsed="false">
      <c r="A194" s="6" t="n">
        <v>193</v>
      </c>
      <c r="B194" s="7" t="s">
        <v>1100</v>
      </c>
      <c r="C194" s="6" t="s">
        <v>44</v>
      </c>
      <c r="D194" s="7" t="s">
        <v>1101</v>
      </c>
      <c r="E194" s="7" t="s">
        <v>1102</v>
      </c>
      <c r="F194" s="7" t="s">
        <v>1103</v>
      </c>
      <c r="G194" s="7" t="s">
        <v>1104</v>
      </c>
      <c r="H194" s="7" t="s">
        <v>1105</v>
      </c>
      <c r="I194" s="7"/>
      <c r="J194" s="7" t="s">
        <v>1106</v>
      </c>
      <c r="K194" s="7" t="s">
        <v>51</v>
      </c>
      <c r="L194" s="6" t="s">
        <v>67</v>
      </c>
      <c r="M194" s="7"/>
    </row>
    <row r="195" customFormat="false" ht="54" hidden="false" customHeight="true" outlineLevel="0" collapsed="false">
      <c r="A195" s="9" t="n">
        <v>194</v>
      </c>
      <c r="B195" s="10" t="s">
        <v>1107</v>
      </c>
      <c r="C195" s="9" t="s">
        <v>44</v>
      </c>
      <c r="D195" s="10" t="s">
        <v>1060</v>
      </c>
      <c r="E195" s="10" t="s">
        <v>1108</v>
      </c>
      <c r="F195" s="10" t="s">
        <v>1109</v>
      </c>
      <c r="G195" s="10" t="s">
        <v>1110</v>
      </c>
      <c r="H195" s="10" t="s">
        <v>1111</v>
      </c>
      <c r="I195" s="10"/>
      <c r="J195" s="10" t="s">
        <v>1112</v>
      </c>
      <c r="K195" s="10" t="s">
        <v>51</v>
      </c>
      <c r="L195" s="9" t="s">
        <v>67</v>
      </c>
      <c r="M195" s="10"/>
    </row>
    <row r="196" customFormat="false" ht="54" hidden="false" customHeight="true" outlineLevel="0" collapsed="false">
      <c r="A196" s="6" t="n">
        <v>195</v>
      </c>
      <c r="B196" s="7" t="s">
        <v>93</v>
      </c>
      <c r="C196" s="6" t="s">
        <v>44</v>
      </c>
      <c r="D196" s="7" t="s">
        <v>94</v>
      </c>
      <c r="E196" s="7" t="s">
        <v>1113</v>
      </c>
      <c r="F196" s="7" t="s">
        <v>1114</v>
      </c>
      <c r="G196" s="7" t="s">
        <v>97</v>
      </c>
      <c r="H196" s="7"/>
      <c r="I196" s="7"/>
      <c r="J196" s="7" t="s">
        <v>1115</v>
      </c>
      <c r="K196" s="7" t="s">
        <v>51</v>
      </c>
      <c r="L196" s="6" t="s">
        <v>67</v>
      </c>
      <c r="M196" s="7"/>
    </row>
    <row r="197" customFormat="false" ht="54" hidden="false" customHeight="true" outlineLevel="0" collapsed="false">
      <c r="A197" s="9" t="n">
        <v>196</v>
      </c>
      <c r="B197" s="10" t="s">
        <v>1116</v>
      </c>
      <c r="C197" s="9" t="s">
        <v>44</v>
      </c>
      <c r="D197" s="10" t="s">
        <v>69</v>
      </c>
      <c r="E197" s="10" t="s">
        <v>1117</v>
      </c>
      <c r="F197" s="10"/>
      <c r="G197" s="10"/>
      <c r="H197" s="10" t="s">
        <v>1118</v>
      </c>
      <c r="I197" s="10"/>
      <c r="J197" s="10" t="s">
        <v>1119</v>
      </c>
      <c r="K197" s="10" t="s">
        <v>51</v>
      </c>
      <c r="L197" s="9" t="s">
        <v>75</v>
      </c>
      <c r="M197" s="10"/>
    </row>
    <row r="198" customFormat="false" ht="54" hidden="false" customHeight="true" outlineLevel="0" collapsed="false">
      <c r="A198" s="6" t="n">
        <v>197</v>
      </c>
      <c r="B198" s="7" t="s">
        <v>1120</v>
      </c>
      <c r="C198" s="6" t="s">
        <v>44</v>
      </c>
      <c r="D198" s="7" t="s">
        <v>139</v>
      </c>
      <c r="E198" s="7" t="s">
        <v>1121</v>
      </c>
      <c r="F198" s="7"/>
      <c r="G198" s="7" t="s">
        <v>1122</v>
      </c>
      <c r="H198" s="7" t="s">
        <v>1123</v>
      </c>
      <c r="I198" s="7" t="s">
        <v>1124</v>
      </c>
      <c r="J198" s="7" t="s">
        <v>1125</v>
      </c>
      <c r="K198" s="7" t="s">
        <v>51</v>
      </c>
      <c r="L198" s="8" t="s">
        <v>52</v>
      </c>
      <c r="M198" s="7"/>
    </row>
    <row r="199" customFormat="false" ht="54" hidden="false" customHeight="true" outlineLevel="0" collapsed="false">
      <c r="A199" s="9" t="n">
        <v>198</v>
      </c>
      <c r="B199" s="10" t="s">
        <v>1126</v>
      </c>
      <c r="C199" s="9" t="s">
        <v>44</v>
      </c>
      <c r="D199" s="10" t="s">
        <v>69</v>
      </c>
      <c r="E199" s="10" t="s">
        <v>1127</v>
      </c>
      <c r="F199" s="10"/>
      <c r="G199" s="10"/>
      <c r="H199" s="10" t="s">
        <v>1128</v>
      </c>
      <c r="I199" s="10"/>
      <c r="J199" s="10" t="s">
        <v>1129</v>
      </c>
      <c r="K199" s="10" t="s">
        <v>51</v>
      </c>
      <c r="L199" s="9" t="s">
        <v>67</v>
      </c>
      <c r="M199" s="10"/>
    </row>
    <row r="200" customFormat="false" ht="54" hidden="false" customHeight="true" outlineLevel="0" collapsed="false">
      <c r="A200" s="6" t="n">
        <v>199</v>
      </c>
      <c r="B200" s="7" t="s">
        <v>1130</v>
      </c>
      <c r="C200" s="6" t="s">
        <v>44</v>
      </c>
      <c r="D200" s="7" t="s">
        <v>139</v>
      </c>
      <c r="E200" s="7" t="s">
        <v>1131</v>
      </c>
      <c r="F200" s="7" t="s">
        <v>1132</v>
      </c>
      <c r="G200" s="7" t="s">
        <v>1133</v>
      </c>
      <c r="H200" s="7" t="s">
        <v>1134</v>
      </c>
      <c r="I200" s="7"/>
      <c r="J200" s="7" t="s">
        <v>1135</v>
      </c>
      <c r="K200" s="7" t="s">
        <v>51</v>
      </c>
      <c r="L200" s="6" t="s">
        <v>67</v>
      </c>
      <c r="M200" s="7"/>
    </row>
    <row r="201" customFormat="false" ht="54" hidden="false" customHeight="true" outlineLevel="0" collapsed="false">
      <c r="A201" s="9" t="n">
        <v>200</v>
      </c>
      <c r="B201" s="10" t="s">
        <v>1136</v>
      </c>
      <c r="C201" s="9" t="s">
        <v>44</v>
      </c>
      <c r="D201" s="10" t="s">
        <v>69</v>
      </c>
      <c r="E201" s="10" t="s">
        <v>1137</v>
      </c>
      <c r="F201" s="10"/>
      <c r="G201" s="10"/>
      <c r="H201" s="10" t="s">
        <v>1138</v>
      </c>
      <c r="I201" s="10"/>
      <c r="J201" s="10" t="s">
        <v>1139</v>
      </c>
      <c r="K201" s="10" t="s">
        <v>51</v>
      </c>
      <c r="L201" s="9" t="s">
        <v>75</v>
      </c>
      <c r="M201" s="10"/>
    </row>
    <row r="202" customFormat="false" ht="54" hidden="false" customHeight="true" outlineLevel="0" collapsed="false">
      <c r="A202" s="6" t="n">
        <v>201</v>
      </c>
      <c r="B202" s="7" t="s">
        <v>1140</v>
      </c>
      <c r="C202" s="6" t="s">
        <v>44</v>
      </c>
      <c r="D202" s="7" t="s">
        <v>1141</v>
      </c>
      <c r="E202" s="7" t="s">
        <v>1142</v>
      </c>
      <c r="F202" s="7"/>
      <c r="G202" s="7"/>
      <c r="H202" s="7" t="s">
        <v>1143</v>
      </c>
      <c r="I202" s="7"/>
      <c r="J202" s="7" t="s">
        <v>1144</v>
      </c>
      <c r="K202" s="7" t="s">
        <v>51</v>
      </c>
      <c r="L202" s="8" t="s">
        <v>52</v>
      </c>
      <c r="M202" s="7"/>
    </row>
    <row r="203" customFormat="false" ht="54" hidden="false" customHeight="true" outlineLevel="0" collapsed="false">
      <c r="A203" s="9" t="n">
        <v>202</v>
      </c>
      <c r="B203" s="10" t="s">
        <v>1145</v>
      </c>
      <c r="C203" s="9" t="s">
        <v>44</v>
      </c>
      <c r="D203" s="10" t="s">
        <v>139</v>
      </c>
      <c r="E203" s="10" t="s">
        <v>1146</v>
      </c>
      <c r="F203" s="10"/>
      <c r="G203" s="10"/>
      <c r="H203" s="10" t="s">
        <v>1147</v>
      </c>
      <c r="I203" s="10"/>
      <c r="J203" s="10" t="s">
        <v>1148</v>
      </c>
      <c r="K203" s="10" t="s">
        <v>51</v>
      </c>
      <c r="L203" s="9" t="s">
        <v>67</v>
      </c>
      <c r="M203" s="10"/>
    </row>
    <row r="204" customFormat="false" ht="54" hidden="false" customHeight="true" outlineLevel="0" collapsed="false">
      <c r="A204" s="6" t="n">
        <v>203</v>
      </c>
      <c r="B204" s="7" t="s">
        <v>1149</v>
      </c>
      <c r="C204" s="6" t="s">
        <v>44</v>
      </c>
      <c r="D204" s="7" t="s">
        <v>1150</v>
      </c>
      <c r="E204" s="7" t="s">
        <v>158</v>
      </c>
      <c r="F204" s="7"/>
      <c r="G204" s="7"/>
      <c r="H204" s="7" t="s">
        <v>1151</v>
      </c>
      <c r="I204" s="7"/>
      <c r="J204" s="7" t="s">
        <v>1152</v>
      </c>
      <c r="K204" s="7" t="s">
        <v>51</v>
      </c>
      <c r="L204" s="6" t="s">
        <v>67</v>
      </c>
      <c r="M204" s="7"/>
    </row>
    <row r="205" customFormat="false" ht="54" hidden="false" customHeight="true" outlineLevel="0" collapsed="false">
      <c r="A205" s="9" t="n">
        <v>204</v>
      </c>
      <c r="B205" s="10" t="s">
        <v>1153</v>
      </c>
      <c r="C205" s="9" t="s">
        <v>44</v>
      </c>
      <c r="D205" s="10" t="s">
        <v>1154</v>
      </c>
      <c r="E205" s="10" t="s">
        <v>1155</v>
      </c>
      <c r="F205" s="10" t="s">
        <v>1156</v>
      </c>
      <c r="G205" s="10" t="s">
        <v>1157</v>
      </c>
      <c r="H205" s="10" t="s">
        <v>1158</v>
      </c>
      <c r="I205" s="10"/>
      <c r="J205" s="10" t="s">
        <v>1159</v>
      </c>
      <c r="K205" s="10" t="s">
        <v>125</v>
      </c>
      <c r="L205" s="8" t="s">
        <v>52</v>
      </c>
      <c r="M205" s="10"/>
    </row>
    <row r="206" customFormat="false" ht="54" hidden="false" customHeight="true" outlineLevel="0" collapsed="false">
      <c r="A206" s="6" t="n">
        <v>205</v>
      </c>
      <c r="B206" s="7" t="s">
        <v>1160</v>
      </c>
      <c r="C206" s="6" t="s">
        <v>44</v>
      </c>
      <c r="D206" s="7" t="s">
        <v>1161</v>
      </c>
      <c r="E206" s="7" t="s">
        <v>1162</v>
      </c>
      <c r="F206" s="7" t="s">
        <v>1163</v>
      </c>
      <c r="G206" s="7" t="s">
        <v>1164</v>
      </c>
      <c r="H206" s="7" t="s">
        <v>1165</v>
      </c>
      <c r="I206" s="7"/>
      <c r="J206" s="7" t="s">
        <v>1166</v>
      </c>
      <c r="K206" s="7" t="s">
        <v>51</v>
      </c>
      <c r="L206" s="6" t="s">
        <v>67</v>
      </c>
      <c r="M206" s="7"/>
    </row>
    <row r="207" customFormat="false" ht="54" hidden="false" customHeight="true" outlineLevel="0" collapsed="false">
      <c r="A207" s="9" t="n">
        <v>206</v>
      </c>
      <c r="B207" s="10" t="s">
        <v>1167</v>
      </c>
      <c r="C207" s="9" t="s">
        <v>44</v>
      </c>
      <c r="D207" s="10" t="s">
        <v>69</v>
      </c>
      <c r="E207" s="10" t="s">
        <v>796</v>
      </c>
      <c r="F207" s="10" t="s">
        <v>797</v>
      </c>
      <c r="G207" s="10"/>
      <c r="H207" s="10" t="s">
        <v>1168</v>
      </c>
      <c r="I207" s="10" t="s">
        <v>799</v>
      </c>
      <c r="J207" s="10" t="s">
        <v>1169</v>
      </c>
      <c r="K207" s="10" t="s">
        <v>51</v>
      </c>
      <c r="L207" s="8" t="s">
        <v>52</v>
      </c>
      <c r="M207" s="10"/>
    </row>
    <row r="208" customFormat="false" ht="54" hidden="false" customHeight="true" outlineLevel="0" collapsed="false">
      <c r="A208" s="6" t="n">
        <v>207</v>
      </c>
      <c r="B208" s="7" t="s">
        <v>783</v>
      </c>
      <c r="C208" s="6" t="s">
        <v>44</v>
      </c>
      <c r="D208" s="7" t="s">
        <v>1170</v>
      </c>
      <c r="E208" s="7" t="s">
        <v>785</v>
      </c>
      <c r="F208" s="7" t="s">
        <v>786</v>
      </c>
      <c r="G208" s="7" t="s">
        <v>1171</v>
      </c>
      <c r="H208" s="7" t="s">
        <v>1172</v>
      </c>
      <c r="I208" s="7"/>
      <c r="J208" s="7" t="s">
        <v>1173</v>
      </c>
      <c r="K208" s="7" t="s">
        <v>125</v>
      </c>
      <c r="L208" s="6" t="s">
        <v>67</v>
      </c>
      <c r="M208" s="7"/>
    </row>
    <row r="209" customFormat="false" ht="54" hidden="false" customHeight="true" outlineLevel="0" collapsed="false">
      <c r="A209" s="9" t="n">
        <v>208</v>
      </c>
      <c r="B209" s="10" t="s">
        <v>1174</v>
      </c>
      <c r="C209" s="9" t="s">
        <v>44</v>
      </c>
      <c r="D209" s="10" t="s">
        <v>1175</v>
      </c>
      <c r="E209" s="10" t="s">
        <v>1176</v>
      </c>
      <c r="F209" s="10" t="s">
        <v>1177</v>
      </c>
      <c r="G209" s="10"/>
      <c r="H209" s="10" t="s">
        <v>1178</v>
      </c>
      <c r="I209" s="10" t="s">
        <v>1179</v>
      </c>
      <c r="J209" s="10" t="s">
        <v>1180</v>
      </c>
      <c r="K209" s="10" t="s">
        <v>51</v>
      </c>
      <c r="L209" s="8" t="s">
        <v>52</v>
      </c>
      <c r="M209" s="10"/>
    </row>
    <row r="210" customFormat="false" ht="54" hidden="false" customHeight="true" outlineLevel="0" collapsed="false">
      <c r="A210" s="6" t="n">
        <v>209</v>
      </c>
      <c r="B210" s="7" t="s">
        <v>1181</v>
      </c>
      <c r="C210" s="6" t="s">
        <v>44</v>
      </c>
      <c r="D210" s="7" t="s">
        <v>69</v>
      </c>
      <c r="E210" s="7" t="s">
        <v>1182</v>
      </c>
      <c r="F210" s="7"/>
      <c r="G210" s="7" t="s">
        <v>1183</v>
      </c>
      <c r="H210" s="7" t="s">
        <v>1184</v>
      </c>
      <c r="I210" s="7" t="s">
        <v>1185</v>
      </c>
      <c r="J210" s="7" t="s">
        <v>1186</v>
      </c>
      <c r="K210" s="7" t="s">
        <v>51</v>
      </c>
      <c r="L210" s="6" t="s">
        <v>67</v>
      </c>
      <c r="M210" s="7"/>
    </row>
    <row r="211" customFormat="false" ht="54" hidden="false" customHeight="true" outlineLevel="0" collapsed="false">
      <c r="A211" s="9" t="n">
        <v>210</v>
      </c>
      <c r="B211" s="10" t="s">
        <v>1187</v>
      </c>
      <c r="C211" s="9" t="s">
        <v>44</v>
      </c>
      <c r="D211" s="10" t="s">
        <v>1188</v>
      </c>
      <c r="E211" s="10" t="s">
        <v>1189</v>
      </c>
      <c r="F211" s="10"/>
      <c r="G211" s="10" t="s">
        <v>1190</v>
      </c>
      <c r="H211" s="10" t="s">
        <v>1191</v>
      </c>
      <c r="I211" s="10" t="s">
        <v>1192</v>
      </c>
      <c r="J211" s="10" t="s">
        <v>1193</v>
      </c>
      <c r="K211" s="10" t="s">
        <v>51</v>
      </c>
      <c r="L211" s="9" t="s">
        <v>67</v>
      </c>
      <c r="M211" s="10"/>
    </row>
    <row r="212" customFormat="false" ht="54" hidden="false" customHeight="true" outlineLevel="0" collapsed="false">
      <c r="A212" s="6" t="n">
        <v>211</v>
      </c>
      <c r="B212" s="7" t="s">
        <v>1194</v>
      </c>
      <c r="C212" s="6" t="s">
        <v>44</v>
      </c>
      <c r="D212" s="7" t="s">
        <v>1195</v>
      </c>
      <c r="E212" s="7" t="s">
        <v>1196</v>
      </c>
      <c r="F212" s="7" t="s">
        <v>1197</v>
      </c>
      <c r="G212" s="7" t="s">
        <v>1198</v>
      </c>
      <c r="H212" s="7" t="s">
        <v>1199</v>
      </c>
      <c r="I212" s="7" t="s">
        <v>1200</v>
      </c>
      <c r="J212" s="7" t="s">
        <v>1201</v>
      </c>
      <c r="K212" s="7" t="s">
        <v>125</v>
      </c>
      <c r="L212" s="8" t="s">
        <v>52</v>
      </c>
      <c r="M212" s="7"/>
    </row>
    <row r="213" customFormat="false" ht="54" hidden="false" customHeight="true" outlineLevel="0" collapsed="false">
      <c r="A213" s="9" t="n">
        <v>212</v>
      </c>
      <c r="B213" s="10" t="s">
        <v>1202</v>
      </c>
      <c r="C213" s="9" t="s">
        <v>44</v>
      </c>
      <c r="D213" s="10" t="s">
        <v>1203</v>
      </c>
      <c r="E213" s="10" t="s">
        <v>1204</v>
      </c>
      <c r="F213" s="10" t="s">
        <v>1205</v>
      </c>
      <c r="G213" s="10" t="s">
        <v>1206</v>
      </c>
      <c r="H213" s="10" t="s">
        <v>1207</v>
      </c>
      <c r="I213" s="10"/>
      <c r="J213" s="10" t="s">
        <v>1208</v>
      </c>
      <c r="K213" s="10" t="s">
        <v>51</v>
      </c>
      <c r="L213" s="9" t="s">
        <v>67</v>
      </c>
      <c r="M213" s="10"/>
    </row>
    <row r="214" customFormat="false" ht="54" hidden="false" customHeight="true" outlineLevel="0" collapsed="false">
      <c r="A214" s="6" t="n">
        <v>213</v>
      </c>
      <c r="B214" s="7" t="s">
        <v>1209</v>
      </c>
      <c r="C214" s="6" t="s">
        <v>44</v>
      </c>
      <c r="D214" s="7" t="s">
        <v>1210</v>
      </c>
      <c r="E214" s="7" t="s">
        <v>1211</v>
      </c>
      <c r="F214" s="7" t="s">
        <v>1212</v>
      </c>
      <c r="G214" s="7" t="s">
        <v>1213</v>
      </c>
      <c r="H214" s="7" t="s">
        <v>1214</v>
      </c>
      <c r="I214" s="7"/>
      <c r="J214" s="7" t="s">
        <v>1215</v>
      </c>
      <c r="K214" s="7" t="s">
        <v>51</v>
      </c>
      <c r="L214" s="6" t="s">
        <v>67</v>
      </c>
      <c r="M214" s="7"/>
    </row>
    <row r="215" customFormat="false" ht="54" hidden="false" customHeight="true" outlineLevel="0" collapsed="false">
      <c r="A215" s="9" t="n">
        <v>214</v>
      </c>
      <c r="B215" s="10" t="s">
        <v>1216</v>
      </c>
      <c r="C215" s="9" t="s">
        <v>44</v>
      </c>
      <c r="D215" s="10" t="s">
        <v>139</v>
      </c>
      <c r="E215" s="10" t="s">
        <v>1217</v>
      </c>
      <c r="F215" s="10" t="s">
        <v>1218</v>
      </c>
      <c r="G215" s="10" t="s">
        <v>1219</v>
      </c>
      <c r="H215" s="10" t="s">
        <v>1220</v>
      </c>
      <c r="I215" s="10"/>
      <c r="J215" s="10" t="s">
        <v>1221</v>
      </c>
      <c r="K215" s="10" t="s">
        <v>51</v>
      </c>
      <c r="L215" s="9" t="s">
        <v>67</v>
      </c>
      <c r="M215" s="10"/>
    </row>
    <row r="216" customFormat="false" ht="54" hidden="false" customHeight="true" outlineLevel="0" collapsed="false">
      <c r="A216" s="6" t="n">
        <v>215</v>
      </c>
      <c r="B216" s="7" t="s">
        <v>1222</v>
      </c>
      <c r="C216" s="6" t="s">
        <v>44</v>
      </c>
      <c r="D216" s="7" t="s">
        <v>61</v>
      </c>
      <c r="E216" s="7" t="s">
        <v>1223</v>
      </c>
      <c r="F216" s="7" t="s">
        <v>1224</v>
      </c>
      <c r="G216" s="7" t="s">
        <v>1225</v>
      </c>
      <c r="H216" s="7" t="s">
        <v>1226</v>
      </c>
      <c r="I216" s="7"/>
      <c r="J216" s="7" t="s">
        <v>1227</v>
      </c>
      <c r="K216" s="7" t="s">
        <v>51</v>
      </c>
      <c r="L216" s="6" t="s">
        <v>67</v>
      </c>
      <c r="M216" s="7"/>
    </row>
    <row r="217" customFormat="false" ht="54" hidden="false" customHeight="true" outlineLevel="0" collapsed="false">
      <c r="A217" s="9" t="n">
        <v>216</v>
      </c>
      <c r="B217" s="10" t="s">
        <v>1228</v>
      </c>
      <c r="C217" s="9" t="s">
        <v>44</v>
      </c>
      <c r="D217" s="10" t="s">
        <v>1229</v>
      </c>
      <c r="E217" s="10" t="s">
        <v>1230</v>
      </c>
      <c r="F217" s="10"/>
      <c r="G217" s="10"/>
      <c r="H217" s="10" t="s">
        <v>1231</v>
      </c>
      <c r="I217" s="10" t="s">
        <v>1232</v>
      </c>
      <c r="J217" s="10" t="s">
        <v>1233</v>
      </c>
      <c r="K217" s="10" t="s">
        <v>51</v>
      </c>
      <c r="L217" s="9" t="s">
        <v>67</v>
      </c>
      <c r="M217" s="10"/>
    </row>
    <row r="218" customFormat="false" ht="54" hidden="false" customHeight="true" outlineLevel="0" collapsed="false">
      <c r="A218" s="6" t="n">
        <v>217</v>
      </c>
      <c r="B218" s="7" t="s">
        <v>1234</v>
      </c>
      <c r="C218" s="6" t="s">
        <v>44</v>
      </c>
      <c r="D218" s="7" t="s">
        <v>54</v>
      </c>
      <c r="E218" s="7" t="s">
        <v>1235</v>
      </c>
      <c r="F218" s="7" t="s">
        <v>1236</v>
      </c>
      <c r="G218" s="7" t="s">
        <v>1237</v>
      </c>
      <c r="H218" s="7" t="s">
        <v>1238</v>
      </c>
      <c r="I218" s="7"/>
      <c r="J218" s="7" t="s">
        <v>1239</v>
      </c>
      <c r="K218" s="7" t="s">
        <v>51</v>
      </c>
      <c r="L218" s="6" t="s">
        <v>67</v>
      </c>
      <c r="M218" s="7"/>
    </row>
    <row r="219" customFormat="false" ht="54" hidden="false" customHeight="true" outlineLevel="0" collapsed="false">
      <c r="A219" s="9" t="n">
        <v>218</v>
      </c>
      <c r="B219" s="10" t="s">
        <v>1240</v>
      </c>
      <c r="C219" s="9" t="s">
        <v>44</v>
      </c>
      <c r="D219" s="10" t="s">
        <v>1241</v>
      </c>
      <c r="E219" s="10" t="s">
        <v>1242</v>
      </c>
      <c r="F219" s="10" t="s">
        <v>1243</v>
      </c>
      <c r="G219" s="10" t="s">
        <v>1244</v>
      </c>
      <c r="H219" s="10" t="s">
        <v>1245</v>
      </c>
      <c r="I219" s="10"/>
      <c r="J219" s="10" t="s">
        <v>1246</v>
      </c>
      <c r="K219" s="10" t="s">
        <v>51</v>
      </c>
      <c r="L219" s="9" t="s">
        <v>67</v>
      </c>
      <c r="M219" s="10"/>
    </row>
    <row r="220" customFormat="false" ht="54" hidden="false" customHeight="true" outlineLevel="0" collapsed="false">
      <c r="A220" s="6" t="n">
        <v>219</v>
      </c>
      <c r="B220" s="7" t="s">
        <v>1247</v>
      </c>
      <c r="C220" s="6" t="s">
        <v>44</v>
      </c>
      <c r="D220" s="7" t="s">
        <v>1248</v>
      </c>
      <c r="E220" s="7" t="s">
        <v>1249</v>
      </c>
      <c r="F220" s="7"/>
      <c r="G220" s="7"/>
      <c r="H220" s="7" t="s">
        <v>1250</v>
      </c>
      <c r="I220" s="7"/>
      <c r="J220" s="7" t="s">
        <v>1251</v>
      </c>
      <c r="K220" s="7" t="s">
        <v>51</v>
      </c>
      <c r="L220" s="6" t="s">
        <v>67</v>
      </c>
      <c r="M220" s="7"/>
    </row>
    <row r="221" customFormat="false" ht="54" hidden="false" customHeight="true" outlineLevel="0" collapsed="false">
      <c r="A221" s="9" t="n">
        <v>220</v>
      </c>
      <c r="B221" s="10" t="s">
        <v>818</v>
      </c>
      <c r="C221" s="9" t="s">
        <v>161</v>
      </c>
      <c r="D221" s="10" t="s">
        <v>69</v>
      </c>
      <c r="E221" s="10" t="s">
        <v>819</v>
      </c>
      <c r="F221" s="10"/>
      <c r="G221" s="10" t="s">
        <v>1252</v>
      </c>
      <c r="H221" s="10" t="s">
        <v>1253</v>
      </c>
      <c r="I221" s="10"/>
      <c r="J221" s="10" t="s">
        <v>1254</v>
      </c>
      <c r="K221" s="10" t="s">
        <v>125</v>
      </c>
      <c r="L221" s="8" t="s">
        <v>52</v>
      </c>
      <c r="M221" s="10"/>
    </row>
    <row r="222" customFormat="false" ht="54" hidden="false" customHeight="true" outlineLevel="0" collapsed="false">
      <c r="A222" s="6" t="n">
        <v>221</v>
      </c>
      <c r="B222" s="7" t="s">
        <v>160</v>
      </c>
      <c r="C222" s="6" t="s">
        <v>161</v>
      </c>
      <c r="D222" s="7" t="s">
        <v>162</v>
      </c>
      <c r="E222" s="7" t="s">
        <v>163</v>
      </c>
      <c r="F222" s="7"/>
      <c r="G222" s="7" t="s">
        <v>164</v>
      </c>
      <c r="H222" s="7" t="s">
        <v>1255</v>
      </c>
      <c r="I222" s="7"/>
      <c r="J222" s="7" t="s">
        <v>1256</v>
      </c>
      <c r="K222" s="7" t="s">
        <v>125</v>
      </c>
      <c r="L222" s="8" t="s">
        <v>52</v>
      </c>
      <c r="M222" s="7"/>
    </row>
    <row r="223" customFormat="false" ht="54" hidden="false" customHeight="true" outlineLevel="0" collapsed="false">
      <c r="A223" s="9" t="n">
        <v>222</v>
      </c>
      <c r="B223" s="10" t="s">
        <v>1257</v>
      </c>
      <c r="C223" s="9" t="s">
        <v>161</v>
      </c>
      <c r="D223" s="10" t="s">
        <v>1258</v>
      </c>
      <c r="E223" s="10" t="s">
        <v>1259</v>
      </c>
      <c r="F223" s="10"/>
      <c r="G223" s="10" t="s">
        <v>1260</v>
      </c>
      <c r="H223" s="10" t="s">
        <v>1261</v>
      </c>
      <c r="I223" s="10"/>
      <c r="J223" s="10" t="s">
        <v>1262</v>
      </c>
      <c r="K223" s="10" t="s">
        <v>125</v>
      </c>
      <c r="L223" s="9" t="s">
        <v>67</v>
      </c>
      <c r="M223" s="10"/>
    </row>
    <row r="224" customFormat="false" ht="54" hidden="false" customHeight="true" outlineLevel="0" collapsed="false">
      <c r="A224" s="6" t="n">
        <v>223</v>
      </c>
      <c r="B224" s="7" t="s">
        <v>1263</v>
      </c>
      <c r="C224" s="6" t="s">
        <v>44</v>
      </c>
      <c r="D224" s="7" t="s">
        <v>1264</v>
      </c>
      <c r="E224" s="7" t="s">
        <v>1265</v>
      </c>
      <c r="F224" s="7" t="s">
        <v>1266</v>
      </c>
      <c r="G224" s="7" t="s">
        <v>1267</v>
      </c>
      <c r="H224" s="7" t="s">
        <v>1268</v>
      </c>
      <c r="I224" s="7" t="s">
        <v>1269</v>
      </c>
      <c r="J224" s="7" t="s">
        <v>1270</v>
      </c>
      <c r="K224" s="7" t="s">
        <v>125</v>
      </c>
      <c r="L224" s="8" t="s">
        <v>52</v>
      </c>
      <c r="M224" s="7"/>
    </row>
    <row r="225" customFormat="false" ht="54" hidden="false" customHeight="true" outlineLevel="0" collapsed="false">
      <c r="A225" s="9" t="n">
        <v>224</v>
      </c>
      <c r="B225" s="10" t="s">
        <v>1271</v>
      </c>
      <c r="C225" s="9" t="s">
        <v>161</v>
      </c>
      <c r="D225" s="10" t="s">
        <v>340</v>
      </c>
      <c r="E225" s="10" t="s">
        <v>1272</v>
      </c>
      <c r="F225" s="10"/>
      <c r="G225" s="10"/>
      <c r="H225" s="10" t="s">
        <v>1273</v>
      </c>
      <c r="I225" s="10"/>
      <c r="J225" s="10" t="s">
        <v>1274</v>
      </c>
      <c r="K225" s="10" t="s">
        <v>125</v>
      </c>
      <c r="L225" s="9" t="s">
        <v>67</v>
      </c>
      <c r="M225" s="10"/>
    </row>
    <row r="226" customFormat="false" ht="54" hidden="false" customHeight="true" outlineLevel="0" collapsed="false">
      <c r="A226" s="6" t="n">
        <v>225</v>
      </c>
      <c r="B226" s="7" t="s">
        <v>1275</v>
      </c>
      <c r="C226" s="6" t="s">
        <v>44</v>
      </c>
      <c r="D226" s="7" t="s">
        <v>69</v>
      </c>
      <c r="E226" s="7" t="s">
        <v>1276</v>
      </c>
      <c r="F226" s="7"/>
      <c r="G226" s="7" t="s">
        <v>1277</v>
      </c>
      <c r="H226" s="7" t="s">
        <v>1278</v>
      </c>
      <c r="I226" s="7"/>
      <c r="J226" s="7" t="s">
        <v>1279</v>
      </c>
      <c r="K226" s="7" t="s">
        <v>51</v>
      </c>
      <c r="L226" s="6" t="s">
        <v>67</v>
      </c>
      <c r="M226" s="7"/>
    </row>
    <row r="227" customFormat="false" ht="54" hidden="false" customHeight="true" outlineLevel="0" collapsed="false">
      <c r="A227" s="9" t="n">
        <v>226</v>
      </c>
      <c r="B227" s="10" t="s">
        <v>1280</v>
      </c>
      <c r="C227" s="9" t="s">
        <v>44</v>
      </c>
      <c r="D227" s="10" t="s">
        <v>1281</v>
      </c>
      <c r="E227" s="10" t="s">
        <v>1282</v>
      </c>
      <c r="F227" s="10"/>
      <c r="G227" s="10" t="s">
        <v>1283</v>
      </c>
      <c r="H227" s="10" t="s">
        <v>1284</v>
      </c>
      <c r="I227" s="10"/>
      <c r="J227" s="10" t="s">
        <v>1285</v>
      </c>
      <c r="K227" s="10" t="s">
        <v>51</v>
      </c>
      <c r="L227" s="9" t="s">
        <v>75</v>
      </c>
      <c r="M227" s="10"/>
    </row>
    <row r="228" customFormat="false" ht="54" hidden="false" customHeight="true" outlineLevel="0" collapsed="false">
      <c r="A228" s="6" t="n">
        <v>227</v>
      </c>
      <c r="B228" s="7" t="s">
        <v>1286</v>
      </c>
      <c r="C228" s="6" t="s">
        <v>44</v>
      </c>
      <c r="D228" s="7" t="s">
        <v>45</v>
      </c>
      <c r="E228" s="7" t="s">
        <v>46</v>
      </c>
      <c r="F228" s="7" t="s">
        <v>47</v>
      </c>
      <c r="G228" s="7" t="s">
        <v>48</v>
      </c>
      <c r="H228" s="7" t="s">
        <v>49</v>
      </c>
      <c r="I228" s="7"/>
      <c r="J228" s="7" t="s">
        <v>1287</v>
      </c>
      <c r="K228" s="7" t="s">
        <v>51</v>
      </c>
      <c r="L228" s="6" t="s">
        <v>67</v>
      </c>
      <c r="M228" s="7"/>
    </row>
    <row r="229" customFormat="false" ht="54" hidden="false" customHeight="true" outlineLevel="0" collapsed="false">
      <c r="A229" s="9" t="n">
        <v>228</v>
      </c>
      <c r="B229" s="10" t="s">
        <v>1288</v>
      </c>
      <c r="C229" s="9" t="s">
        <v>44</v>
      </c>
      <c r="D229" s="10" t="s">
        <v>1289</v>
      </c>
      <c r="E229" s="10" t="s">
        <v>1290</v>
      </c>
      <c r="F229" s="10"/>
      <c r="G229" s="10"/>
      <c r="H229" s="10" t="s">
        <v>1291</v>
      </c>
      <c r="I229" s="10"/>
      <c r="J229" s="10" t="s">
        <v>1292</v>
      </c>
      <c r="K229" s="10" t="s">
        <v>51</v>
      </c>
      <c r="L229" s="9" t="s">
        <v>75</v>
      </c>
      <c r="M229" s="10"/>
    </row>
    <row r="230" customFormat="false" ht="54" hidden="false" customHeight="true" outlineLevel="0" collapsed="false">
      <c r="A230" s="6" t="n">
        <v>229</v>
      </c>
      <c r="B230" s="7" t="s">
        <v>314</v>
      </c>
      <c r="C230" s="6" t="s">
        <v>308</v>
      </c>
      <c r="D230" s="7" t="s">
        <v>139</v>
      </c>
      <c r="E230" s="7" t="s">
        <v>315</v>
      </c>
      <c r="F230" s="7" t="s">
        <v>316</v>
      </c>
      <c r="G230" s="7" t="s">
        <v>317</v>
      </c>
      <c r="H230" s="7" t="s">
        <v>318</v>
      </c>
      <c r="I230" s="7" t="s">
        <v>314</v>
      </c>
      <c r="J230" s="7" t="s">
        <v>1293</v>
      </c>
      <c r="K230" s="7" t="s">
        <v>51</v>
      </c>
      <c r="L230" s="8" t="s">
        <v>52</v>
      </c>
      <c r="M230" s="7"/>
    </row>
    <row r="231" customFormat="false" ht="54" hidden="false" customHeight="true" outlineLevel="0" collapsed="false">
      <c r="A231" s="9" t="n">
        <v>230</v>
      </c>
      <c r="B231" s="10" t="s">
        <v>1294</v>
      </c>
      <c r="C231" s="9" t="s">
        <v>308</v>
      </c>
      <c r="D231" s="10" t="s">
        <v>576</v>
      </c>
      <c r="E231" s="10"/>
      <c r="F231" s="10"/>
      <c r="G231" s="10"/>
      <c r="H231" s="10" t="s">
        <v>1295</v>
      </c>
      <c r="I231" s="10" t="s">
        <v>1294</v>
      </c>
      <c r="J231" s="10" t="s">
        <v>1296</v>
      </c>
      <c r="K231" s="10" t="s">
        <v>51</v>
      </c>
      <c r="L231" s="9" t="s">
        <v>67</v>
      </c>
      <c r="M231" s="10"/>
    </row>
    <row r="232" customFormat="false" ht="54" hidden="false" customHeight="true" outlineLevel="0" collapsed="false">
      <c r="A232" s="6" t="n">
        <v>231</v>
      </c>
      <c r="B232" s="7" t="s">
        <v>1297</v>
      </c>
      <c r="C232" s="6" t="s">
        <v>308</v>
      </c>
      <c r="D232" s="7" t="s">
        <v>1298</v>
      </c>
      <c r="E232" s="7"/>
      <c r="F232" s="7"/>
      <c r="G232" s="7"/>
      <c r="H232" s="7" t="s">
        <v>1299</v>
      </c>
      <c r="I232" s="7" t="s">
        <v>1297</v>
      </c>
      <c r="J232" s="7" t="s">
        <v>1300</v>
      </c>
      <c r="K232" s="7" t="s">
        <v>51</v>
      </c>
      <c r="L232" s="6" t="s">
        <v>67</v>
      </c>
      <c r="M232" s="7"/>
    </row>
    <row r="233" customFormat="false" ht="54" hidden="false" customHeight="true" outlineLevel="0" collapsed="false">
      <c r="A233" s="9" t="n">
        <v>232</v>
      </c>
      <c r="B233" s="10" t="s">
        <v>1301</v>
      </c>
      <c r="C233" s="9" t="s">
        <v>308</v>
      </c>
      <c r="D233" s="10" t="s">
        <v>69</v>
      </c>
      <c r="E233" s="10"/>
      <c r="F233" s="10"/>
      <c r="G233" s="10"/>
      <c r="H233" s="10" t="s">
        <v>1302</v>
      </c>
      <c r="I233" s="10" t="s">
        <v>1301</v>
      </c>
      <c r="J233" s="10" t="s">
        <v>1303</v>
      </c>
      <c r="K233" s="10" t="s">
        <v>51</v>
      </c>
      <c r="L233" s="9" t="s">
        <v>75</v>
      </c>
      <c r="M233" s="10"/>
    </row>
    <row r="234" customFormat="false" ht="54" hidden="false" customHeight="true" outlineLevel="0" collapsed="false">
      <c r="A234" s="6" t="n">
        <v>233</v>
      </c>
      <c r="B234" s="7" t="s">
        <v>1304</v>
      </c>
      <c r="C234" s="6" t="s">
        <v>308</v>
      </c>
      <c r="D234" s="7" t="s">
        <v>1305</v>
      </c>
      <c r="E234" s="7"/>
      <c r="F234" s="7"/>
      <c r="G234" s="7"/>
      <c r="H234" s="7" t="s">
        <v>1306</v>
      </c>
      <c r="I234" s="7" t="s">
        <v>1304</v>
      </c>
      <c r="J234" s="7" t="s">
        <v>1307</v>
      </c>
      <c r="K234" s="7" t="s">
        <v>51</v>
      </c>
      <c r="L234" s="6" t="s">
        <v>75</v>
      </c>
      <c r="M234" s="7"/>
    </row>
    <row r="235" customFormat="false" ht="54" hidden="false" customHeight="true" outlineLevel="0" collapsed="false">
      <c r="A235" s="9" t="n">
        <v>234</v>
      </c>
      <c r="B235" s="10" t="s">
        <v>1308</v>
      </c>
      <c r="C235" s="9" t="s">
        <v>44</v>
      </c>
      <c r="D235" s="10" t="s">
        <v>139</v>
      </c>
      <c r="E235" s="10" t="s">
        <v>1309</v>
      </c>
      <c r="F235" s="10" t="s">
        <v>1310</v>
      </c>
      <c r="G235" s="10" t="s">
        <v>1311</v>
      </c>
      <c r="H235" s="10"/>
      <c r="I235" s="10"/>
      <c r="J235" s="10" t="s">
        <v>1312</v>
      </c>
      <c r="K235" s="10" t="s">
        <v>51</v>
      </c>
      <c r="L235" s="9" t="s">
        <v>67</v>
      </c>
      <c r="M235" s="10"/>
    </row>
    <row r="236" customFormat="false" ht="54" hidden="false" customHeight="true" outlineLevel="0" collapsed="false">
      <c r="A236" s="6" t="n">
        <v>235</v>
      </c>
      <c r="B236" s="7" t="s">
        <v>1313</v>
      </c>
      <c r="C236" s="6" t="s">
        <v>44</v>
      </c>
      <c r="D236" s="7" t="s">
        <v>1314</v>
      </c>
      <c r="E236" s="7" t="s">
        <v>1315</v>
      </c>
      <c r="F236" s="7" t="s">
        <v>1316</v>
      </c>
      <c r="G236" s="7" t="s">
        <v>1317</v>
      </c>
      <c r="H236" s="7"/>
      <c r="I236" s="7"/>
      <c r="J236" s="7" t="s">
        <v>1318</v>
      </c>
      <c r="K236" s="7" t="s">
        <v>51</v>
      </c>
      <c r="L236" s="6" t="s">
        <v>67</v>
      </c>
      <c r="M236" s="7"/>
    </row>
    <row r="237" customFormat="false" ht="54" hidden="false" customHeight="true" outlineLevel="0" collapsed="false">
      <c r="A237" s="9" t="n">
        <v>236</v>
      </c>
      <c r="B237" s="10" t="s">
        <v>1319</v>
      </c>
      <c r="C237" s="9" t="s">
        <v>44</v>
      </c>
      <c r="D237" s="10" t="s">
        <v>162</v>
      </c>
      <c r="E237" s="10" t="s">
        <v>1320</v>
      </c>
      <c r="F237" s="10" t="s">
        <v>1321</v>
      </c>
      <c r="G237" s="10" t="s">
        <v>1322</v>
      </c>
      <c r="H237" s="10" t="s">
        <v>1323</v>
      </c>
      <c r="I237" s="10"/>
      <c r="J237" s="10" t="s">
        <v>1324</v>
      </c>
      <c r="K237" s="10" t="s">
        <v>125</v>
      </c>
      <c r="L237" s="8" t="s">
        <v>52</v>
      </c>
      <c r="M237" s="10"/>
    </row>
    <row r="238" customFormat="false" ht="54" hidden="false" customHeight="true" outlineLevel="0" collapsed="false">
      <c r="A238" s="6" t="n">
        <v>237</v>
      </c>
      <c r="B238" s="7" t="s">
        <v>1325</v>
      </c>
      <c r="C238" s="6" t="s">
        <v>44</v>
      </c>
      <c r="D238" s="7" t="s">
        <v>61</v>
      </c>
      <c r="E238" s="7" t="s">
        <v>1326</v>
      </c>
      <c r="F238" s="7" t="s">
        <v>1327</v>
      </c>
      <c r="G238" s="7" t="s">
        <v>1328</v>
      </c>
      <c r="H238" s="7" t="s">
        <v>1329</v>
      </c>
      <c r="I238" s="7"/>
      <c r="J238" s="7" t="s">
        <v>1330</v>
      </c>
      <c r="K238" s="7" t="s">
        <v>51</v>
      </c>
      <c r="L238" s="6" t="s">
        <v>67</v>
      </c>
      <c r="M238" s="7"/>
    </row>
    <row r="239" customFormat="false" ht="54" hidden="false" customHeight="true" outlineLevel="0" collapsed="false">
      <c r="A239" s="9" t="n">
        <v>238</v>
      </c>
      <c r="B239" s="10" t="s">
        <v>1331</v>
      </c>
      <c r="C239" s="9" t="s">
        <v>44</v>
      </c>
      <c r="D239" s="10" t="s">
        <v>1332</v>
      </c>
      <c r="E239" s="10" t="s">
        <v>1333</v>
      </c>
      <c r="F239" s="10" t="s">
        <v>1334</v>
      </c>
      <c r="G239" s="10" t="s">
        <v>1335</v>
      </c>
      <c r="H239" s="10" t="s">
        <v>1336</v>
      </c>
      <c r="I239" s="10"/>
      <c r="J239" s="10" t="s">
        <v>1337</v>
      </c>
      <c r="K239" s="10" t="s">
        <v>51</v>
      </c>
      <c r="L239" s="9" t="s">
        <v>67</v>
      </c>
      <c r="M239" s="10"/>
    </row>
    <row r="240" customFormat="false" ht="54" hidden="false" customHeight="true" outlineLevel="0" collapsed="false">
      <c r="A240" s="6" t="n">
        <v>239</v>
      </c>
      <c r="B240" s="7" t="s">
        <v>1338</v>
      </c>
      <c r="C240" s="6" t="s">
        <v>44</v>
      </c>
      <c r="D240" s="7" t="s">
        <v>1339</v>
      </c>
      <c r="E240" s="7" t="s">
        <v>1340</v>
      </c>
      <c r="F240" s="7"/>
      <c r="G240" s="7" t="s">
        <v>1341</v>
      </c>
      <c r="H240" s="7" t="s">
        <v>1342</v>
      </c>
      <c r="I240" s="7"/>
      <c r="J240" s="7" t="s">
        <v>1343</v>
      </c>
      <c r="K240" s="7" t="s">
        <v>125</v>
      </c>
      <c r="L240" s="6" t="s">
        <v>67</v>
      </c>
      <c r="M240" s="7"/>
    </row>
    <row r="241" customFormat="false" ht="54" hidden="false" customHeight="true" outlineLevel="0" collapsed="false">
      <c r="A241" s="9" t="n">
        <v>240</v>
      </c>
      <c r="B241" s="10" t="s">
        <v>1344</v>
      </c>
      <c r="C241" s="9" t="s">
        <v>44</v>
      </c>
      <c r="D241" s="10" t="s">
        <v>1345</v>
      </c>
      <c r="E241" s="10" t="s">
        <v>1346</v>
      </c>
      <c r="F241" s="10" t="s">
        <v>1347</v>
      </c>
      <c r="G241" s="10" t="s">
        <v>1348</v>
      </c>
      <c r="H241" s="10" t="s">
        <v>1349</v>
      </c>
      <c r="I241" s="10"/>
      <c r="J241" s="10" t="s">
        <v>1350</v>
      </c>
      <c r="K241" s="10" t="s">
        <v>51</v>
      </c>
      <c r="L241" s="9" t="s">
        <v>67</v>
      </c>
      <c r="M241" s="10"/>
    </row>
    <row r="242" customFormat="false" ht="54" hidden="false" customHeight="true" outlineLevel="0" collapsed="false">
      <c r="A242" s="6" t="n">
        <v>241</v>
      </c>
      <c r="B242" s="7" t="s">
        <v>1351</v>
      </c>
      <c r="C242" s="6" t="s">
        <v>44</v>
      </c>
      <c r="D242" s="7" t="s">
        <v>443</v>
      </c>
      <c r="E242" s="7" t="s">
        <v>1352</v>
      </c>
      <c r="F242" s="7" t="s">
        <v>1353</v>
      </c>
      <c r="G242" s="7" t="s">
        <v>1354</v>
      </c>
      <c r="H242" s="7"/>
      <c r="I242" s="7" t="s">
        <v>1355</v>
      </c>
      <c r="J242" s="7" t="s">
        <v>1356</v>
      </c>
      <c r="K242" s="7" t="s">
        <v>51</v>
      </c>
      <c r="L242" s="6" t="s">
        <v>67</v>
      </c>
      <c r="M242" s="7"/>
    </row>
    <row r="243" customFormat="false" ht="54" hidden="false" customHeight="true" outlineLevel="0" collapsed="false">
      <c r="A243" s="9" t="n">
        <v>242</v>
      </c>
      <c r="B243" s="10" t="s">
        <v>1357</v>
      </c>
      <c r="C243" s="9" t="s">
        <v>44</v>
      </c>
      <c r="D243" s="10" t="s">
        <v>449</v>
      </c>
      <c r="E243" s="10" t="s">
        <v>1358</v>
      </c>
      <c r="F243" s="10" t="s">
        <v>1359</v>
      </c>
      <c r="G243" s="10" t="s">
        <v>1360</v>
      </c>
      <c r="H243" s="10"/>
      <c r="I243" s="10"/>
      <c r="J243" s="10" t="s">
        <v>1361</v>
      </c>
      <c r="K243" s="10" t="s">
        <v>51</v>
      </c>
      <c r="L243" s="9" t="s">
        <v>75</v>
      </c>
      <c r="M243" s="10"/>
    </row>
    <row r="244" customFormat="false" ht="54" hidden="false" customHeight="true" outlineLevel="0" collapsed="false">
      <c r="A244" s="6" t="n">
        <v>243</v>
      </c>
      <c r="B244" s="7" t="s">
        <v>1362</v>
      </c>
      <c r="C244" s="6" t="s">
        <v>44</v>
      </c>
      <c r="D244" s="7" t="s">
        <v>443</v>
      </c>
      <c r="E244" s="7" t="s">
        <v>1363</v>
      </c>
      <c r="F244" s="7" t="s">
        <v>1364</v>
      </c>
      <c r="G244" s="7" t="s">
        <v>1365</v>
      </c>
      <c r="H244" s="7" t="s">
        <v>1366</v>
      </c>
      <c r="I244" s="7"/>
      <c r="J244" s="7" t="s">
        <v>1367</v>
      </c>
      <c r="K244" s="7" t="s">
        <v>51</v>
      </c>
      <c r="L244" s="6" t="s">
        <v>75</v>
      </c>
      <c r="M244" s="7"/>
    </row>
    <row r="245" customFormat="false" ht="54" hidden="false" customHeight="true" outlineLevel="0" collapsed="false">
      <c r="A245" s="9" t="n">
        <v>244</v>
      </c>
      <c r="B245" s="10" t="s">
        <v>1368</v>
      </c>
      <c r="C245" s="9" t="s">
        <v>44</v>
      </c>
      <c r="D245" s="10" t="s">
        <v>94</v>
      </c>
      <c r="E245" s="10" t="s">
        <v>1369</v>
      </c>
      <c r="F245" s="10" t="s">
        <v>1370</v>
      </c>
      <c r="G245" s="10" t="s">
        <v>1371</v>
      </c>
      <c r="H245" s="10"/>
      <c r="I245" s="10"/>
      <c r="J245" s="10" t="s">
        <v>1372</v>
      </c>
      <c r="K245" s="10" t="s">
        <v>125</v>
      </c>
      <c r="L245" s="8" t="s">
        <v>52</v>
      </c>
      <c r="M245" s="10"/>
    </row>
    <row r="246" customFormat="false" ht="54" hidden="false" customHeight="true" outlineLevel="0" collapsed="false">
      <c r="A246" s="6" t="n">
        <v>245</v>
      </c>
      <c r="B246" s="7" t="s">
        <v>1373</v>
      </c>
      <c r="C246" s="6" t="s">
        <v>44</v>
      </c>
      <c r="D246" s="7" t="s">
        <v>1374</v>
      </c>
      <c r="E246" s="7" t="s">
        <v>1375</v>
      </c>
      <c r="F246" s="7" t="s">
        <v>1376</v>
      </c>
      <c r="G246" s="7" t="s">
        <v>1377</v>
      </c>
      <c r="H246" s="7"/>
      <c r="I246" s="7"/>
      <c r="J246" s="7" t="s">
        <v>1378</v>
      </c>
      <c r="K246" s="7" t="s">
        <v>51</v>
      </c>
      <c r="L246" s="6" t="s">
        <v>67</v>
      </c>
      <c r="M246" s="7"/>
    </row>
    <row r="247" customFormat="false" ht="54" hidden="false" customHeight="true" outlineLevel="0" collapsed="false">
      <c r="A247" s="9" t="n">
        <v>246</v>
      </c>
      <c r="B247" s="10" t="s">
        <v>1379</v>
      </c>
      <c r="C247" s="9" t="s">
        <v>44</v>
      </c>
      <c r="D247" s="10" t="s">
        <v>1380</v>
      </c>
      <c r="E247" s="10" t="s">
        <v>1381</v>
      </c>
      <c r="F247" s="10" t="s">
        <v>1382</v>
      </c>
      <c r="G247" s="10" t="s">
        <v>1383</v>
      </c>
      <c r="H247" s="10" t="s">
        <v>1384</v>
      </c>
      <c r="I247" s="10"/>
      <c r="J247" s="10" t="s">
        <v>1385</v>
      </c>
      <c r="K247" s="10" t="s">
        <v>51</v>
      </c>
      <c r="L247" s="9" t="s">
        <v>67</v>
      </c>
      <c r="M247" s="10"/>
    </row>
    <row r="248" customFormat="false" ht="54" hidden="false" customHeight="true" outlineLevel="0" collapsed="false">
      <c r="A248" s="6" t="n">
        <v>247</v>
      </c>
      <c r="B248" s="7" t="s">
        <v>1386</v>
      </c>
      <c r="C248" s="6" t="s">
        <v>44</v>
      </c>
      <c r="D248" s="7" t="s">
        <v>678</v>
      </c>
      <c r="E248" s="7" t="s">
        <v>1387</v>
      </c>
      <c r="F248" s="7" t="s">
        <v>1388</v>
      </c>
      <c r="G248" s="7" t="s">
        <v>1389</v>
      </c>
      <c r="H248" s="7"/>
      <c r="I248" s="7"/>
      <c r="J248" s="7" t="s">
        <v>1390</v>
      </c>
      <c r="K248" s="7" t="s">
        <v>51</v>
      </c>
      <c r="L248" s="6" t="s">
        <v>75</v>
      </c>
      <c r="M248" s="7"/>
    </row>
    <row r="249" customFormat="false" ht="54" hidden="false" customHeight="true" outlineLevel="0" collapsed="false">
      <c r="A249" s="9" t="n">
        <v>248</v>
      </c>
      <c r="B249" s="10" t="s">
        <v>1391</v>
      </c>
      <c r="C249" s="9" t="s">
        <v>44</v>
      </c>
      <c r="D249" s="10" t="s">
        <v>268</v>
      </c>
      <c r="E249" s="10" t="s">
        <v>1392</v>
      </c>
      <c r="F249" s="10" t="s">
        <v>1393</v>
      </c>
      <c r="G249" s="10" t="s">
        <v>1394</v>
      </c>
      <c r="H249" s="10"/>
      <c r="I249" s="10"/>
      <c r="J249" s="10" t="s">
        <v>1395</v>
      </c>
      <c r="K249" s="10" t="s">
        <v>51</v>
      </c>
      <c r="L249" s="9" t="s">
        <v>67</v>
      </c>
      <c r="M249" s="10"/>
    </row>
    <row r="250" customFormat="false" ht="54" hidden="false" customHeight="true" outlineLevel="0" collapsed="false">
      <c r="A250" s="6" t="n">
        <v>249</v>
      </c>
      <c r="B250" s="7" t="s">
        <v>1396</v>
      </c>
      <c r="C250" s="6" t="s">
        <v>44</v>
      </c>
      <c r="D250" s="7" t="s">
        <v>1397</v>
      </c>
      <c r="E250" s="7" t="s">
        <v>1398</v>
      </c>
      <c r="F250" s="7" t="s">
        <v>1399</v>
      </c>
      <c r="G250" s="7" t="s">
        <v>1400</v>
      </c>
      <c r="H250" s="7" t="s">
        <v>1401</v>
      </c>
      <c r="I250" s="7"/>
      <c r="J250" s="7" t="s">
        <v>1402</v>
      </c>
      <c r="K250" s="7" t="s">
        <v>51</v>
      </c>
      <c r="L250" s="6" t="s">
        <v>67</v>
      </c>
      <c r="M250" s="7"/>
    </row>
    <row r="251" customFormat="false" ht="54" hidden="false" customHeight="true" outlineLevel="0" collapsed="false">
      <c r="A251" s="9" t="n">
        <v>250</v>
      </c>
      <c r="B251" s="10" t="s">
        <v>1403</v>
      </c>
      <c r="C251" s="9" t="s">
        <v>44</v>
      </c>
      <c r="D251" s="10" t="s">
        <v>1404</v>
      </c>
      <c r="E251" s="10" t="s">
        <v>1405</v>
      </c>
      <c r="F251" s="10" t="s">
        <v>1406</v>
      </c>
      <c r="G251" s="10" t="s">
        <v>1407</v>
      </c>
      <c r="H251" s="10"/>
      <c r="I251" s="10"/>
      <c r="J251" s="10" t="s">
        <v>1408</v>
      </c>
      <c r="K251" s="10" t="s">
        <v>51</v>
      </c>
      <c r="L251" s="9" t="s">
        <v>67</v>
      </c>
      <c r="M251" s="10"/>
    </row>
    <row r="252" customFormat="false" ht="54" hidden="false" customHeight="true" outlineLevel="0" collapsed="false">
      <c r="A252" s="6" t="n">
        <v>251</v>
      </c>
      <c r="B252" s="7" t="s">
        <v>1409</v>
      </c>
      <c r="C252" s="6" t="s">
        <v>44</v>
      </c>
      <c r="D252" s="7" t="s">
        <v>268</v>
      </c>
      <c r="E252" s="7" t="s">
        <v>1410</v>
      </c>
      <c r="F252" s="7" t="s">
        <v>1411</v>
      </c>
      <c r="G252" s="7" t="s">
        <v>1412</v>
      </c>
      <c r="H252" s="7" t="s">
        <v>1413</v>
      </c>
      <c r="I252" s="7"/>
      <c r="J252" s="7" t="s">
        <v>1414</v>
      </c>
      <c r="K252" s="7" t="s">
        <v>51</v>
      </c>
      <c r="L252" s="6" t="s">
        <v>67</v>
      </c>
      <c r="M252" s="7"/>
    </row>
    <row r="253" customFormat="false" ht="54" hidden="false" customHeight="true" outlineLevel="0" collapsed="false">
      <c r="A253" s="9" t="n">
        <v>252</v>
      </c>
      <c r="B253" s="10" t="s">
        <v>1415</v>
      </c>
      <c r="C253" s="9" t="s">
        <v>44</v>
      </c>
      <c r="D253" s="10" t="s">
        <v>1416</v>
      </c>
      <c r="E253" s="10" t="s">
        <v>1417</v>
      </c>
      <c r="F253" s="10" t="s">
        <v>1418</v>
      </c>
      <c r="G253" s="10" t="s">
        <v>1419</v>
      </c>
      <c r="H253" s="10"/>
      <c r="I253" s="10"/>
      <c r="J253" s="10" t="s">
        <v>1420</v>
      </c>
      <c r="K253" s="10" t="s">
        <v>51</v>
      </c>
      <c r="L253" s="9" t="s">
        <v>75</v>
      </c>
      <c r="M253" s="10"/>
    </row>
    <row r="254" customFormat="false" ht="54" hidden="false" customHeight="true" outlineLevel="0" collapsed="false">
      <c r="A254" s="6" t="n">
        <v>253</v>
      </c>
      <c r="B254" s="7" t="s">
        <v>1421</v>
      </c>
      <c r="C254" s="6" t="s">
        <v>44</v>
      </c>
      <c r="D254" s="7" t="s">
        <v>1248</v>
      </c>
      <c r="E254" s="7" t="s">
        <v>1422</v>
      </c>
      <c r="F254" s="7" t="s">
        <v>1423</v>
      </c>
      <c r="G254" s="7"/>
      <c r="H254" s="7" t="s">
        <v>1424</v>
      </c>
      <c r="I254" s="7"/>
      <c r="J254" s="7" t="s">
        <v>1425</v>
      </c>
      <c r="K254" s="7" t="s">
        <v>51</v>
      </c>
      <c r="L254" s="6" t="s">
        <v>67</v>
      </c>
      <c r="M254" s="7"/>
    </row>
    <row r="255" customFormat="false" ht="54" hidden="false" customHeight="true" outlineLevel="0" collapsed="false">
      <c r="A255" s="9" t="n">
        <v>254</v>
      </c>
      <c r="B255" s="10" t="s">
        <v>1426</v>
      </c>
      <c r="C255" s="9" t="s">
        <v>44</v>
      </c>
      <c r="D255" s="10" t="s">
        <v>1427</v>
      </c>
      <c r="E255" s="10" t="s">
        <v>1428</v>
      </c>
      <c r="F255" s="10" t="s">
        <v>1429</v>
      </c>
      <c r="G255" s="10" t="s">
        <v>1430</v>
      </c>
      <c r="H255" s="10" t="s">
        <v>1431</v>
      </c>
      <c r="I255" s="10"/>
      <c r="J255" s="10" t="s">
        <v>1432</v>
      </c>
      <c r="K255" s="10" t="s">
        <v>51</v>
      </c>
      <c r="L255" s="9" t="s">
        <v>75</v>
      </c>
      <c r="M255" s="10"/>
    </row>
    <row r="256" customFormat="false" ht="54" hidden="false" customHeight="true" outlineLevel="0" collapsed="false">
      <c r="A256" s="6" t="n">
        <v>255</v>
      </c>
      <c r="B256" s="7" t="s">
        <v>1433</v>
      </c>
      <c r="C256" s="6" t="s">
        <v>44</v>
      </c>
      <c r="D256" s="7" t="s">
        <v>892</v>
      </c>
      <c r="E256" s="7" t="s">
        <v>1434</v>
      </c>
      <c r="F256" s="7"/>
      <c r="G256" s="7" t="s">
        <v>1435</v>
      </c>
      <c r="H256" s="7" t="s">
        <v>1436</v>
      </c>
      <c r="I256" s="7"/>
      <c r="J256" s="7" t="s">
        <v>1437</v>
      </c>
      <c r="K256" s="7" t="s">
        <v>51</v>
      </c>
      <c r="L256" s="6" t="s">
        <v>75</v>
      </c>
      <c r="M256" s="7"/>
    </row>
    <row r="257" customFormat="false" ht="54" hidden="false" customHeight="true" outlineLevel="0" collapsed="false">
      <c r="A257" s="9" t="n">
        <v>256</v>
      </c>
      <c r="B257" s="10" t="s">
        <v>1438</v>
      </c>
      <c r="C257" s="9" t="s">
        <v>44</v>
      </c>
      <c r="D257" s="10" t="s">
        <v>1439</v>
      </c>
      <c r="E257" s="10" t="s">
        <v>1440</v>
      </c>
      <c r="F257" s="10" t="s">
        <v>1441</v>
      </c>
      <c r="G257" s="10" t="s">
        <v>1442</v>
      </c>
      <c r="H257" s="10" t="s">
        <v>1443</v>
      </c>
      <c r="I257" s="10"/>
      <c r="J257" s="10" t="s">
        <v>1444</v>
      </c>
      <c r="K257" s="10" t="s">
        <v>51</v>
      </c>
      <c r="L257" s="9" t="s">
        <v>67</v>
      </c>
      <c r="M257" s="10"/>
    </row>
    <row r="258" customFormat="false" ht="54" hidden="false" customHeight="true" outlineLevel="0" collapsed="false">
      <c r="A258" s="6" t="n">
        <v>257</v>
      </c>
      <c r="B258" s="7" t="s">
        <v>1445</v>
      </c>
      <c r="C258" s="6" t="s">
        <v>44</v>
      </c>
      <c r="D258" s="7" t="s">
        <v>69</v>
      </c>
      <c r="E258" s="7" t="s">
        <v>1446</v>
      </c>
      <c r="F258" s="7" t="s">
        <v>1447</v>
      </c>
      <c r="G258" s="7" t="s">
        <v>1448</v>
      </c>
      <c r="H258" s="7" t="s">
        <v>1449</v>
      </c>
      <c r="I258" s="7"/>
      <c r="J258" s="7" t="s">
        <v>1450</v>
      </c>
      <c r="K258" s="7" t="s">
        <v>51</v>
      </c>
      <c r="L258" s="6" t="s">
        <v>67</v>
      </c>
      <c r="M258" s="7"/>
    </row>
    <row r="259" customFormat="false" ht="54" hidden="false" customHeight="true" outlineLevel="0" collapsed="false">
      <c r="A259" s="9" t="n">
        <v>258</v>
      </c>
      <c r="B259" s="10" t="s">
        <v>1451</v>
      </c>
      <c r="C259" s="9" t="s">
        <v>44</v>
      </c>
      <c r="D259" s="10" t="s">
        <v>1452</v>
      </c>
      <c r="E259" s="10" t="s">
        <v>1453</v>
      </c>
      <c r="F259" s="10" t="s">
        <v>1454</v>
      </c>
      <c r="G259" s="10" t="s">
        <v>1455</v>
      </c>
      <c r="H259" s="10" t="s">
        <v>1456</v>
      </c>
      <c r="I259" s="10"/>
      <c r="J259" s="10" t="s">
        <v>1457</v>
      </c>
      <c r="K259" s="10" t="s">
        <v>51</v>
      </c>
      <c r="L259" s="9" t="s">
        <v>67</v>
      </c>
      <c r="M259" s="10"/>
    </row>
    <row r="260" customFormat="false" ht="54" hidden="false" customHeight="true" outlineLevel="0" collapsed="false">
      <c r="A260" s="6" t="n">
        <v>259</v>
      </c>
      <c r="B260" s="7" t="s">
        <v>1458</v>
      </c>
      <c r="C260" s="6" t="s">
        <v>44</v>
      </c>
      <c r="D260" s="7" t="s">
        <v>493</v>
      </c>
      <c r="E260" s="7" t="s">
        <v>1459</v>
      </c>
      <c r="F260" s="7" t="s">
        <v>1460</v>
      </c>
      <c r="G260" s="7" t="s">
        <v>1461</v>
      </c>
      <c r="H260" s="7" t="s">
        <v>1462</v>
      </c>
      <c r="I260" s="7"/>
      <c r="J260" s="7" t="s">
        <v>1463</v>
      </c>
      <c r="K260" s="7" t="s">
        <v>51</v>
      </c>
      <c r="L260" s="6" t="s">
        <v>75</v>
      </c>
      <c r="M260" s="7"/>
    </row>
    <row r="261" customFormat="false" ht="54" hidden="false" customHeight="true" outlineLevel="0" collapsed="false">
      <c r="A261" s="9" t="n">
        <v>260</v>
      </c>
      <c r="B261" s="10" t="s">
        <v>1464</v>
      </c>
      <c r="C261" s="9" t="s">
        <v>44</v>
      </c>
      <c r="D261" s="10" t="s">
        <v>1465</v>
      </c>
      <c r="E261" s="10" t="s">
        <v>1466</v>
      </c>
      <c r="F261" s="10" t="s">
        <v>1467</v>
      </c>
      <c r="G261" s="10" t="s">
        <v>1468</v>
      </c>
      <c r="H261" s="10"/>
      <c r="I261" s="10"/>
      <c r="J261" s="10" t="s">
        <v>1469</v>
      </c>
      <c r="K261" s="10" t="s">
        <v>51</v>
      </c>
      <c r="L261" s="9" t="s">
        <v>67</v>
      </c>
      <c r="M261" s="10"/>
    </row>
    <row r="262" customFormat="false" ht="54" hidden="false" customHeight="true" outlineLevel="0" collapsed="false">
      <c r="A262" s="6" t="n">
        <v>261</v>
      </c>
      <c r="B262" s="7" t="s">
        <v>1470</v>
      </c>
      <c r="C262" s="6" t="s">
        <v>44</v>
      </c>
      <c r="D262" s="7" t="s">
        <v>69</v>
      </c>
      <c r="E262" s="7" t="s">
        <v>1471</v>
      </c>
      <c r="F262" s="7" t="s">
        <v>1472</v>
      </c>
      <c r="G262" s="7" t="s">
        <v>1473</v>
      </c>
      <c r="H262" s="7" t="s">
        <v>1474</v>
      </c>
      <c r="I262" s="7"/>
      <c r="J262" s="7" t="s">
        <v>1475</v>
      </c>
      <c r="K262" s="7" t="s">
        <v>51</v>
      </c>
      <c r="L262" s="6" t="s">
        <v>67</v>
      </c>
      <c r="M262" s="7"/>
    </row>
    <row r="263" customFormat="false" ht="54" hidden="false" customHeight="true" outlineLevel="0" collapsed="false">
      <c r="A263" s="9" t="n">
        <v>262</v>
      </c>
      <c r="B263" s="10" t="s">
        <v>1476</v>
      </c>
      <c r="C263" s="9" t="s">
        <v>44</v>
      </c>
      <c r="D263" s="10" t="s">
        <v>1477</v>
      </c>
      <c r="E263" s="10" t="s">
        <v>1478</v>
      </c>
      <c r="F263" s="10" t="s">
        <v>1479</v>
      </c>
      <c r="G263" s="10" t="s">
        <v>1480</v>
      </c>
      <c r="H263" s="10"/>
      <c r="I263" s="10"/>
      <c r="J263" s="10" t="s">
        <v>1481</v>
      </c>
      <c r="K263" s="10" t="s">
        <v>51</v>
      </c>
      <c r="L263" s="9" t="s">
        <v>75</v>
      </c>
      <c r="M263" s="10"/>
    </row>
    <row r="264" customFormat="false" ht="54" hidden="false" customHeight="true" outlineLevel="0" collapsed="false">
      <c r="A264" s="6" t="n">
        <v>263</v>
      </c>
      <c r="B264" s="7" t="s">
        <v>674</v>
      </c>
      <c r="C264" s="6" t="s">
        <v>44</v>
      </c>
      <c r="D264" s="7" t="s">
        <v>657</v>
      </c>
      <c r="E264" s="7" t="s">
        <v>675</v>
      </c>
      <c r="F264" s="7"/>
      <c r="G264" s="7"/>
      <c r="H264" s="7"/>
      <c r="I264" s="7"/>
      <c r="J264" s="7" t="s">
        <v>1482</v>
      </c>
      <c r="K264" s="7" t="s">
        <v>51</v>
      </c>
      <c r="L264" s="6" t="s">
        <v>75</v>
      </c>
      <c r="M264" s="7"/>
    </row>
    <row r="265" customFormat="false" ht="54" hidden="false" customHeight="true" outlineLevel="0" collapsed="false">
      <c r="A265" s="9" t="n">
        <v>264</v>
      </c>
      <c r="B265" s="10" t="s">
        <v>1483</v>
      </c>
      <c r="C265" s="9" t="s">
        <v>308</v>
      </c>
      <c r="D265" s="10" t="s">
        <v>69</v>
      </c>
      <c r="E265" s="10"/>
      <c r="F265" s="10"/>
      <c r="G265" s="10"/>
      <c r="H265" s="10" t="s">
        <v>1484</v>
      </c>
      <c r="I265" s="10" t="s">
        <v>1483</v>
      </c>
      <c r="J265" s="10" t="s">
        <v>1485</v>
      </c>
      <c r="K265" s="10" t="s">
        <v>51</v>
      </c>
      <c r="L265" s="9" t="s">
        <v>67</v>
      </c>
      <c r="M265" s="10"/>
    </row>
    <row r="266" customFormat="false" ht="54" hidden="false" customHeight="true" outlineLevel="0" collapsed="false">
      <c r="A266" s="6" t="n">
        <v>265</v>
      </c>
      <c r="B266" s="7" t="s">
        <v>1486</v>
      </c>
      <c r="C266" s="6" t="s">
        <v>308</v>
      </c>
      <c r="D266" s="7" t="s">
        <v>69</v>
      </c>
      <c r="E266" s="7"/>
      <c r="F266" s="7"/>
      <c r="G266" s="7"/>
      <c r="H266" s="7" t="s">
        <v>1487</v>
      </c>
      <c r="I266" s="7" t="s">
        <v>1486</v>
      </c>
      <c r="J266" s="7" t="s">
        <v>1488</v>
      </c>
      <c r="K266" s="7" t="s">
        <v>51</v>
      </c>
      <c r="L266" s="6" t="s">
        <v>67</v>
      </c>
      <c r="M266" s="7"/>
    </row>
    <row r="267" customFormat="false" ht="54" hidden="false" customHeight="true" outlineLevel="0" collapsed="false">
      <c r="A267" s="9" t="n">
        <v>266</v>
      </c>
      <c r="B267" s="10" t="s">
        <v>1489</v>
      </c>
      <c r="C267" s="9" t="s">
        <v>308</v>
      </c>
      <c r="D267" s="10" t="s">
        <v>1490</v>
      </c>
      <c r="E267" s="10"/>
      <c r="F267" s="10"/>
      <c r="G267" s="10"/>
      <c r="H267" s="10" t="s">
        <v>1491</v>
      </c>
      <c r="I267" s="10" t="s">
        <v>1489</v>
      </c>
      <c r="J267" s="10" t="s">
        <v>1492</v>
      </c>
      <c r="K267" s="10" t="s">
        <v>51</v>
      </c>
      <c r="L267" s="9" t="s">
        <v>75</v>
      </c>
      <c r="M267" s="10"/>
    </row>
    <row r="268" customFormat="false" ht="54" hidden="false" customHeight="true" outlineLevel="0" collapsed="false">
      <c r="A268" s="6" t="n">
        <v>267</v>
      </c>
      <c r="B268" s="7" t="s">
        <v>1493</v>
      </c>
      <c r="C268" s="6" t="s">
        <v>308</v>
      </c>
      <c r="D268" s="7" t="s">
        <v>1490</v>
      </c>
      <c r="E268" s="7"/>
      <c r="F268" s="7"/>
      <c r="G268" s="7"/>
      <c r="H268" s="7" t="s">
        <v>1494</v>
      </c>
      <c r="I268" s="7" t="s">
        <v>1493</v>
      </c>
      <c r="J268" s="7" t="s">
        <v>1495</v>
      </c>
      <c r="K268" s="7" t="s">
        <v>51</v>
      </c>
      <c r="L268" s="6" t="s">
        <v>75</v>
      </c>
      <c r="M268" s="7"/>
    </row>
    <row r="269" customFormat="false" ht="54" hidden="false" customHeight="true" outlineLevel="0" collapsed="false">
      <c r="A269" s="9" t="n">
        <v>268</v>
      </c>
      <c r="B269" s="10" t="s">
        <v>1496</v>
      </c>
      <c r="C269" s="9" t="s">
        <v>308</v>
      </c>
      <c r="D269" s="10" t="s">
        <v>69</v>
      </c>
      <c r="E269" s="10" t="s">
        <v>1497</v>
      </c>
      <c r="F269" s="10"/>
      <c r="G269" s="10"/>
      <c r="H269" s="10" t="s">
        <v>1498</v>
      </c>
      <c r="I269" s="10" t="s">
        <v>1496</v>
      </c>
      <c r="J269" s="10" t="s">
        <v>1499</v>
      </c>
      <c r="K269" s="10" t="s">
        <v>51</v>
      </c>
      <c r="L269" s="9" t="s">
        <v>75</v>
      </c>
      <c r="M269" s="10"/>
    </row>
    <row r="270" customFormat="false" ht="54" hidden="false" customHeight="true" outlineLevel="0" collapsed="false">
      <c r="A270" s="6" t="n">
        <v>269</v>
      </c>
      <c r="B270" s="7" t="s">
        <v>1500</v>
      </c>
      <c r="C270" s="6" t="s">
        <v>44</v>
      </c>
      <c r="D270" s="7" t="s">
        <v>388</v>
      </c>
      <c r="E270" s="7" t="s">
        <v>1501</v>
      </c>
      <c r="F270" s="7" t="s">
        <v>1502</v>
      </c>
      <c r="G270" s="7" t="s">
        <v>1503</v>
      </c>
      <c r="H270" s="7"/>
      <c r="I270" s="7"/>
      <c r="J270" s="7" t="s">
        <v>1504</v>
      </c>
      <c r="K270" s="7" t="s">
        <v>51</v>
      </c>
      <c r="L270" s="6" t="s">
        <v>67</v>
      </c>
      <c r="M270" s="7"/>
    </row>
    <row r="271" customFormat="false" ht="54" hidden="false" customHeight="true" outlineLevel="0" collapsed="false">
      <c r="A271" s="9" t="n">
        <v>270</v>
      </c>
      <c r="B271" s="10" t="s">
        <v>1505</v>
      </c>
      <c r="C271" s="9" t="s">
        <v>44</v>
      </c>
      <c r="D271" s="10" t="s">
        <v>214</v>
      </c>
      <c r="E271" s="10" t="s">
        <v>1506</v>
      </c>
      <c r="F271" s="10" t="s">
        <v>1507</v>
      </c>
      <c r="G271" s="10" t="s">
        <v>1508</v>
      </c>
      <c r="H271" s="10"/>
      <c r="I271" s="10"/>
      <c r="J271" s="10" t="s">
        <v>1509</v>
      </c>
      <c r="K271" s="10" t="s">
        <v>51</v>
      </c>
      <c r="L271" s="9" t="s">
        <v>67</v>
      </c>
      <c r="M271" s="10"/>
    </row>
    <row r="272" customFormat="false" ht="54" hidden="false" customHeight="true" outlineLevel="0" collapsed="false">
      <c r="A272" s="6" t="n">
        <v>271</v>
      </c>
      <c r="B272" s="7" t="s">
        <v>1510</v>
      </c>
      <c r="C272" s="6" t="s">
        <v>44</v>
      </c>
      <c r="D272" s="7" t="s">
        <v>303</v>
      </c>
      <c r="E272" s="7" t="s">
        <v>1511</v>
      </c>
      <c r="F272" s="7" t="s">
        <v>1512</v>
      </c>
      <c r="G272" s="7" t="s">
        <v>1513</v>
      </c>
      <c r="H272" s="7" t="s">
        <v>1514</v>
      </c>
      <c r="I272" s="7"/>
      <c r="J272" s="7" t="s">
        <v>1515</v>
      </c>
      <c r="K272" s="7" t="s">
        <v>51</v>
      </c>
      <c r="L272" s="6" t="s">
        <v>67</v>
      </c>
      <c r="M272" s="7"/>
    </row>
    <row r="273" customFormat="false" ht="54" hidden="false" customHeight="true" outlineLevel="0" collapsed="false">
      <c r="A273" s="9" t="n">
        <v>272</v>
      </c>
      <c r="B273" s="10" t="s">
        <v>1516</v>
      </c>
      <c r="C273" s="9" t="s">
        <v>308</v>
      </c>
      <c r="D273" s="10" t="s">
        <v>69</v>
      </c>
      <c r="E273" s="10" t="s">
        <v>1517</v>
      </c>
      <c r="F273" s="10"/>
      <c r="G273" s="10"/>
      <c r="H273" s="10" t="s">
        <v>1518</v>
      </c>
      <c r="I273" s="10" t="s">
        <v>1516</v>
      </c>
      <c r="J273" s="10" t="s">
        <v>1519</v>
      </c>
      <c r="K273" s="10" t="s">
        <v>51</v>
      </c>
      <c r="L273" s="9" t="s">
        <v>67</v>
      </c>
      <c r="M273" s="10"/>
    </row>
    <row r="274" customFormat="false" ht="54" hidden="false" customHeight="true" outlineLevel="0" collapsed="false">
      <c r="A274" s="6" t="n">
        <v>273</v>
      </c>
      <c r="B274" s="7" t="s">
        <v>1520</v>
      </c>
      <c r="C274" s="6" t="s">
        <v>44</v>
      </c>
      <c r="D274" s="7" t="s">
        <v>388</v>
      </c>
      <c r="E274" s="7" t="s">
        <v>1521</v>
      </c>
      <c r="F274" s="7" t="s">
        <v>1522</v>
      </c>
      <c r="G274" s="7" t="s">
        <v>1523</v>
      </c>
      <c r="H274" s="7" t="s">
        <v>1524</v>
      </c>
      <c r="I274" s="7"/>
      <c r="J274" s="7" t="s">
        <v>1525</v>
      </c>
      <c r="K274" s="7" t="s">
        <v>51</v>
      </c>
      <c r="L274" s="6" t="s">
        <v>67</v>
      </c>
      <c r="M274" s="7"/>
    </row>
    <row r="275" customFormat="false" ht="54" hidden="false" customHeight="true" outlineLevel="0" collapsed="false">
      <c r="A275" s="9" t="n">
        <v>274</v>
      </c>
      <c r="B275" s="10" t="s">
        <v>1526</v>
      </c>
      <c r="C275" s="9" t="s">
        <v>44</v>
      </c>
      <c r="D275" s="10" t="s">
        <v>1527</v>
      </c>
      <c r="E275" s="10" t="s">
        <v>1528</v>
      </c>
      <c r="F275" s="10" t="s">
        <v>1529</v>
      </c>
      <c r="G275" s="10" t="s">
        <v>1530</v>
      </c>
      <c r="H275" s="10" t="s">
        <v>1531</v>
      </c>
      <c r="I275" s="10"/>
      <c r="J275" s="10" t="s">
        <v>1532</v>
      </c>
      <c r="K275" s="10" t="s">
        <v>51</v>
      </c>
      <c r="L275" s="9" t="s">
        <v>67</v>
      </c>
      <c r="M275" s="10"/>
    </row>
    <row r="276" customFormat="false" ht="54" hidden="false" customHeight="true" outlineLevel="0" collapsed="false">
      <c r="A276" s="6" t="n">
        <v>275</v>
      </c>
      <c r="B276" s="7" t="s">
        <v>1533</v>
      </c>
      <c r="C276" s="6" t="s">
        <v>44</v>
      </c>
      <c r="D276" s="7" t="s">
        <v>132</v>
      </c>
      <c r="E276" s="7" t="s">
        <v>1534</v>
      </c>
      <c r="F276" s="7" t="s">
        <v>1535</v>
      </c>
      <c r="G276" s="7" t="s">
        <v>1536</v>
      </c>
      <c r="H276" s="7"/>
      <c r="I276" s="7"/>
      <c r="J276" s="7" t="s">
        <v>1537</v>
      </c>
      <c r="K276" s="7" t="s">
        <v>51</v>
      </c>
      <c r="L276" s="6" t="s">
        <v>75</v>
      </c>
      <c r="M276" s="7"/>
    </row>
    <row r="277" customFormat="false" ht="54" hidden="false" customHeight="true" outlineLevel="0" collapsed="false">
      <c r="A277" s="9" t="n">
        <v>276</v>
      </c>
      <c r="B277" s="10" t="s">
        <v>1538</v>
      </c>
      <c r="C277" s="9" t="s">
        <v>44</v>
      </c>
      <c r="D277" s="10" t="s">
        <v>1539</v>
      </c>
      <c r="E277" s="10" t="s">
        <v>1540</v>
      </c>
      <c r="F277" s="10" t="s">
        <v>1541</v>
      </c>
      <c r="G277" s="10" t="s">
        <v>1542</v>
      </c>
      <c r="H277" s="10" t="s">
        <v>1543</v>
      </c>
      <c r="I277" s="10"/>
      <c r="J277" s="10" t="s">
        <v>1544</v>
      </c>
      <c r="K277" s="10" t="s">
        <v>51</v>
      </c>
      <c r="L277" s="9" t="s">
        <v>67</v>
      </c>
      <c r="M277" s="10"/>
    </row>
    <row r="278" customFormat="false" ht="54" hidden="false" customHeight="true" outlineLevel="0" collapsed="false">
      <c r="A278" s="6" t="n">
        <v>277</v>
      </c>
      <c r="B278" s="7" t="s">
        <v>1545</v>
      </c>
      <c r="C278" s="6" t="s">
        <v>308</v>
      </c>
      <c r="D278" s="7" t="s">
        <v>221</v>
      </c>
      <c r="E278" s="7" t="s">
        <v>1546</v>
      </c>
      <c r="F278" s="7"/>
      <c r="G278" s="7"/>
      <c r="H278" s="7" t="s">
        <v>1547</v>
      </c>
      <c r="I278" s="7" t="s">
        <v>1545</v>
      </c>
      <c r="J278" s="7" t="s">
        <v>1548</v>
      </c>
      <c r="K278" s="7" t="s">
        <v>125</v>
      </c>
      <c r="L278" s="8" t="s">
        <v>52</v>
      </c>
      <c r="M278" s="7"/>
    </row>
    <row r="279" customFormat="false" ht="54" hidden="false" customHeight="true" outlineLevel="0" collapsed="false">
      <c r="A279" s="9" t="n">
        <v>278</v>
      </c>
      <c r="B279" s="10" t="s">
        <v>1549</v>
      </c>
      <c r="C279" s="9" t="s">
        <v>308</v>
      </c>
      <c r="D279" s="10" t="s">
        <v>69</v>
      </c>
      <c r="E279" s="10" t="s">
        <v>1550</v>
      </c>
      <c r="F279" s="10"/>
      <c r="G279" s="10"/>
      <c r="H279" s="10" t="s">
        <v>1551</v>
      </c>
      <c r="I279" s="10" t="s">
        <v>1549</v>
      </c>
      <c r="J279" s="10" t="s">
        <v>1552</v>
      </c>
      <c r="K279" s="10" t="s">
        <v>51</v>
      </c>
      <c r="L279" s="9" t="s">
        <v>67</v>
      </c>
      <c r="M279" s="10"/>
    </row>
    <row r="280" customFormat="false" ht="54" hidden="false" customHeight="true" outlineLevel="0" collapsed="false">
      <c r="A280" s="6" t="n">
        <v>279</v>
      </c>
      <c r="B280" s="7" t="s">
        <v>1553</v>
      </c>
      <c r="C280" s="6" t="s">
        <v>308</v>
      </c>
      <c r="D280" s="7" t="s">
        <v>69</v>
      </c>
      <c r="E280" s="7" t="s">
        <v>1554</v>
      </c>
      <c r="F280" s="7"/>
      <c r="G280" s="7"/>
      <c r="H280" s="7" t="s">
        <v>1555</v>
      </c>
      <c r="I280" s="7" t="s">
        <v>1553</v>
      </c>
      <c r="J280" s="7" t="s">
        <v>1556</v>
      </c>
      <c r="K280" s="7" t="s">
        <v>51</v>
      </c>
      <c r="L280" s="6" t="s">
        <v>75</v>
      </c>
      <c r="M280" s="7"/>
    </row>
    <row r="281" customFormat="false" ht="54" hidden="false" customHeight="true" outlineLevel="0" collapsed="false">
      <c r="A281" s="9" t="n">
        <v>280</v>
      </c>
      <c r="B281" s="10" t="s">
        <v>1557</v>
      </c>
      <c r="C281" s="9" t="s">
        <v>44</v>
      </c>
      <c r="D281" s="10" t="s">
        <v>468</v>
      </c>
      <c r="E281" s="10" t="s">
        <v>1558</v>
      </c>
      <c r="F281" s="10" t="s">
        <v>1559</v>
      </c>
      <c r="G281" s="10"/>
      <c r="H281" s="10"/>
      <c r="I281" s="10"/>
      <c r="J281" s="10" t="s">
        <v>1560</v>
      </c>
      <c r="K281" s="10" t="s">
        <v>51</v>
      </c>
      <c r="L281" s="9" t="s">
        <v>75</v>
      </c>
      <c r="M281" s="10"/>
    </row>
    <row r="282" customFormat="false" ht="54" hidden="false" customHeight="true" outlineLevel="0" collapsed="false">
      <c r="A282" s="6" t="n">
        <v>281</v>
      </c>
      <c r="B282" s="7" t="s">
        <v>1561</v>
      </c>
      <c r="C282" s="6" t="s">
        <v>44</v>
      </c>
      <c r="D282" s="7" t="s">
        <v>474</v>
      </c>
      <c r="E282" s="7" t="s">
        <v>1562</v>
      </c>
      <c r="F282" s="7" t="s">
        <v>1563</v>
      </c>
      <c r="G282" s="7"/>
      <c r="H282" s="7"/>
      <c r="I282" s="7"/>
      <c r="J282" s="7" t="s">
        <v>1564</v>
      </c>
      <c r="K282" s="7" t="s">
        <v>51</v>
      </c>
      <c r="L282" s="6" t="s">
        <v>75</v>
      </c>
      <c r="M282" s="7"/>
    </row>
    <row r="285" customFormat="false" ht="15" hidden="false" customHeight="false" outlineLevel="0" collapsed="false">
      <c r="B285" s="11" t="s">
        <v>1565</v>
      </c>
      <c r="C285" s="12" t="n">
        <f aca="false">COUNTA(B2:B282)</f>
        <v>281</v>
      </c>
    </row>
    <row r="286" customFormat="false" ht="15" hidden="false" customHeight="false" outlineLevel="0" collapsed="false">
      <c r="B286" s="11" t="s">
        <v>1566</v>
      </c>
      <c r="C286" s="12" t="n">
        <f aca="false">COUNTIF(L2:L282,"High")</f>
        <v>79</v>
      </c>
    </row>
    <row r="287" customFormat="false" ht="15" hidden="false" customHeight="false" outlineLevel="0" collapsed="false">
      <c r="B287" s="11" t="s">
        <v>1567</v>
      </c>
      <c r="C287" s="12" t="n">
        <f aca="false">COUNTIF(K2:K282,"Partnership")</f>
        <v>58</v>
      </c>
    </row>
    <row r="288" customFormat="false" ht="15" hidden="false" customHeight="false" outlineLevel="0" collapsed="false">
      <c r="B288" s="11" t="s">
        <v>1568</v>
      </c>
      <c r="C288" s="12" t="n">
        <f aca="false">COUNTIF(C2:C282,"Agency")</f>
        <v>213</v>
      </c>
    </row>
    <row r="289" customFormat="false" ht="15" hidden="false" customHeight="false" outlineLevel="0" collapsed="false">
      <c r="B289" s="11" t="s">
        <v>1569</v>
      </c>
      <c r="C289" s="12" t="n">
        <f aca="false">COUNTIF(C2:C282,"Freelancer")</f>
        <v>37</v>
      </c>
    </row>
    <row r="290" customFormat="false" ht="15" hidden="false" customHeight="false" outlineLevel="0" collapsed="false">
      <c r="B290" s="11" t="s">
        <v>1570</v>
      </c>
      <c r="C290" s="12" t="n">
        <f aca="false">COUNTIF(C2:C282,"Platform Partner")</f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55"/>
    <col collapsed="false" customWidth="true" hidden="false" outlineLevel="0" max="7" min="7" style="0" width="20"/>
    <col collapsed="false" customWidth="true" hidden="false" outlineLevel="0" max="8" min="8" style="0" width="28"/>
    <col collapsed="false" customWidth="true" hidden="false" outlineLevel="0" max="9" min="9" style="0" width="32"/>
    <col collapsed="false" customWidth="true" hidden="false" outlineLevel="0" max="10" min="10" style="0" width="30"/>
    <col collapsed="false" customWidth="true" hidden="false" outlineLevel="0" max="11" min="11" style="0" width="13"/>
    <col collapsed="false" customWidth="true" hidden="false" outlineLevel="0" max="12" min="12" style="0" width="50"/>
    <col collapsed="false" customWidth="true" hidden="false" outlineLevel="0" max="13" min="13" style="0" width="14"/>
  </cols>
  <sheetData>
    <row r="1" customFormat="false" ht="19.7" hidden="false" customHeight="false" outlineLevel="0" collapsed="false">
      <c r="A1" s="1" t="s">
        <v>1571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13" t="s">
        <v>1572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customFormat="false" ht="31.5" hidden="false" customHeight="true" outlineLevel="0" collapsed="false">
      <c r="A4" s="5" t="s">
        <v>30</v>
      </c>
      <c r="B4" s="5" t="s">
        <v>44</v>
      </c>
      <c r="C4" s="5" t="s">
        <v>32</v>
      </c>
      <c r="D4" s="5" t="s">
        <v>1573</v>
      </c>
      <c r="E4" s="5" t="s">
        <v>1574</v>
      </c>
      <c r="F4" s="5" t="s">
        <v>1575</v>
      </c>
      <c r="G4" s="5" t="s">
        <v>36</v>
      </c>
      <c r="H4" s="5" t="s">
        <v>35</v>
      </c>
      <c r="I4" s="5" t="s">
        <v>34</v>
      </c>
      <c r="J4" s="5" t="s">
        <v>1576</v>
      </c>
      <c r="K4" s="5" t="s">
        <v>1577</v>
      </c>
      <c r="L4" s="5" t="s">
        <v>1578</v>
      </c>
      <c r="M4" s="5" t="s">
        <v>1579</v>
      </c>
    </row>
    <row r="5" customFormat="false" ht="72" hidden="false" customHeight="true" outlineLevel="0" collapsed="false">
      <c r="A5" s="6" t="n">
        <v>1</v>
      </c>
      <c r="B5" s="7" t="s">
        <v>1451</v>
      </c>
      <c r="C5" s="6" t="s">
        <v>44</v>
      </c>
      <c r="D5" s="6" t="s">
        <v>1580</v>
      </c>
      <c r="E5" s="7" t="s">
        <v>1581</v>
      </c>
      <c r="F5" s="7" t="s">
        <v>1582</v>
      </c>
      <c r="G5" s="7" t="s">
        <v>1455</v>
      </c>
      <c r="H5" s="7" t="s">
        <v>1454</v>
      </c>
      <c r="I5" s="7" t="s">
        <v>1453</v>
      </c>
      <c r="J5" s="7" t="s">
        <v>1583</v>
      </c>
      <c r="K5" s="8" t="s">
        <v>52</v>
      </c>
      <c r="L5" s="7" t="s">
        <v>1584</v>
      </c>
      <c r="M5" s="7"/>
    </row>
    <row r="6" customFormat="false" ht="72" hidden="false" customHeight="true" outlineLevel="0" collapsed="false">
      <c r="A6" s="9" t="n">
        <v>2</v>
      </c>
      <c r="B6" s="10" t="s">
        <v>1585</v>
      </c>
      <c r="C6" s="9" t="s">
        <v>44</v>
      </c>
      <c r="D6" s="9" t="s">
        <v>1580</v>
      </c>
      <c r="E6" s="10" t="s">
        <v>1581</v>
      </c>
      <c r="F6" s="10" t="s">
        <v>1586</v>
      </c>
      <c r="G6" s="10" t="s">
        <v>1587</v>
      </c>
      <c r="H6" s="10" t="s">
        <v>1588</v>
      </c>
      <c r="I6" s="10" t="s">
        <v>1589</v>
      </c>
      <c r="J6" s="10" t="s">
        <v>1590</v>
      </c>
      <c r="K6" s="8" t="s">
        <v>52</v>
      </c>
      <c r="L6" s="10" t="s">
        <v>1591</v>
      </c>
      <c r="M6" s="10"/>
    </row>
    <row r="7" customFormat="false" ht="72" hidden="false" customHeight="true" outlineLevel="0" collapsed="false">
      <c r="A7" s="6" t="n">
        <v>3</v>
      </c>
      <c r="B7" s="7" t="s">
        <v>1592</v>
      </c>
      <c r="C7" s="6" t="s">
        <v>308</v>
      </c>
      <c r="D7" s="6" t="s">
        <v>1580</v>
      </c>
      <c r="E7" s="7" t="s">
        <v>1581</v>
      </c>
      <c r="F7" s="7" t="s">
        <v>1593</v>
      </c>
      <c r="G7" s="7" t="s">
        <v>1594</v>
      </c>
      <c r="H7" s="7" t="s">
        <v>1595</v>
      </c>
      <c r="I7" s="7" t="s">
        <v>1596</v>
      </c>
      <c r="J7" s="7" t="s">
        <v>1597</v>
      </c>
      <c r="K7" s="8" t="s">
        <v>52</v>
      </c>
      <c r="L7" s="7" t="s">
        <v>1598</v>
      </c>
      <c r="M7" s="7"/>
    </row>
    <row r="8" customFormat="false" ht="72" hidden="false" customHeight="true" outlineLevel="0" collapsed="false">
      <c r="A8" s="9" t="n">
        <v>4</v>
      </c>
      <c r="B8" s="10" t="s">
        <v>1599</v>
      </c>
      <c r="C8" s="9" t="s">
        <v>44</v>
      </c>
      <c r="D8" s="9" t="s">
        <v>1580</v>
      </c>
      <c r="E8" s="10" t="s">
        <v>1600</v>
      </c>
      <c r="F8" s="10" t="s">
        <v>1601</v>
      </c>
      <c r="G8" s="10" t="s">
        <v>1602</v>
      </c>
      <c r="H8" s="10" t="s">
        <v>1603</v>
      </c>
      <c r="I8" s="10" t="s">
        <v>1604</v>
      </c>
      <c r="J8" s="10" t="s">
        <v>1605</v>
      </c>
      <c r="K8" s="8" t="s">
        <v>52</v>
      </c>
      <c r="L8" s="10" t="s">
        <v>1606</v>
      </c>
      <c r="M8" s="10"/>
    </row>
    <row r="9" customFormat="false" ht="72" hidden="false" customHeight="true" outlineLevel="0" collapsed="false">
      <c r="A9" s="6" t="n">
        <v>5</v>
      </c>
      <c r="B9" s="7" t="s">
        <v>1607</v>
      </c>
      <c r="C9" s="6" t="s">
        <v>44</v>
      </c>
      <c r="D9" s="6" t="s">
        <v>1608</v>
      </c>
      <c r="E9" s="7" t="s">
        <v>1609</v>
      </c>
      <c r="F9" s="7" t="s">
        <v>1610</v>
      </c>
      <c r="G9" s="7" t="s">
        <v>1611</v>
      </c>
      <c r="H9" s="7" t="s">
        <v>1612</v>
      </c>
      <c r="I9" s="7" t="s">
        <v>1613</v>
      </c>
      <c r="J9" s="7" t="s">
        <v>1614</v>
      </c>
      <c r="K9" s="8" t="s">
        <v>52</v>
      </c>
      <c r="L9" s="7" t="s">
        <v>1615</v>
      </c>
      <c r="M9" s="7"/>
    </row>
    <row r="10" customFormat="false" ht="72" hidden="false" customHeight="true" outlineLevel="0" collapsed="false">
      <c r="A10" s="9" t="n">
        <v>6</v>
      </c>
      <c r="B10" s="10" t="s">
        <v>1616</v>
      </c>
      <c r="C10" s="9" t="s">
        <v>44</v>
      </c>
      <c r="D10" s="9" t="s">
        <v>1608</v>
      </c>
      <c r="E10" s="10" t="s">
        <v>1617</v>
      </c>
      <c r="F10" s="10" t="s">
        <v>1618</v>
      </c>
      <c r="G10" s="10" t="s">
        <v>1619</v>
      </c>
      <c r="H10" s="10" t="s">
        <v>1620</v>
      </c>
      <c r="I10" s="10" t="s">
        <v>1621</v>
      </c>
      <c r="J10" s="10" t="s">
        <v>1622</v>
      </c>
      <c r="K10" s="8" t="s">
        <v>52</v>
      </c>
      <c r="L10" s="10" t="s">
        <v>1623</v>
      </c>
      <c r="M10" s="10"/>
    </row>
    <row r="11" customFormat="false" ht="72" hidden="false" customHeight="true" outlineLevel="0" collapsed="false">
      <c r="A11" s="6" t="n">
        <v>7</v>
      </c>
      <c r="B11" s="7" t="s">
        <v>1624</v>
      </c>
      <c r="C11" s="6" t="s">
        <v>44</v>
      </c>
      <c r="D11" s="6" t="s">
        <v>1580</v>
      </c>
      <c r="E11" s="7" t="s">
        <v>1625</v>
      </c>
      <c r="F11" s="7" t="s">
        <v>1626</v>
      </c>
      <c r="G11" s="7" t="s">
        <v>1627</v>
      </c>
      <c r="H11" s="7" t="s">
        <v>1628</v>
      </c>
      <c r="I11" s="7" t="s">
        <v>1629</v>
      </c>
      <c r="J11" s="7" t="s">
        <v>1630</v>
      </c>
      <c r="K11" s="8" t="s">
        <v>52</v>
      </c>
      <c r="L11" s="7" t="s">
        <v>1631</v>
      </c>
      <c r="M11" s="7"/>
    </row>
    <row r="12" customFormat="false" ht="72" hidden="false" customHeight="true" outlineLevel="0" collapsed="false">
      <c r="A12" s="9" t="n">
        <v>8</v>
      </c>
      <c r="B12" s="10" t="s">
        <v>1632</v>
      </c>
      <c r="C12" s="9" t="s">
        <v>44</v>
      </c>
      <c r="D12" s="9" t="s">
        <v>1608</v>
      </c>
      <c r="E12" s="10" t="s">
        <v>1609</v>
      </c>
      <c r="F12" s="10" t="s">
        <v>1633</v>
      </c>
      <c r="G12" s="10" t="s">
        <v>1634</v>
      </c>
      <c r="H12" s="10" t="s">
        <v>1635</v>
      </c>
      <c r="I12" s="10" t="s">
        <v>1636</v>
      </c>
      <c r="J12" s="10" t="s">
        <v>1637</v>
      </c>
      <c r="K12" s="9" t="s">
        <v>67</v>
      </c>
      <c r="L12" s="10" t="s">
        <v>1638</v>
      </c>
      <c r="M12" s="10"/>
    </row>
    <row r="13" customFormat="false" ht="72" hidden="false" customHeight="true" outlineLevel="0" collapsed="false">
      <c r="A13" s="6" t="n">
        <v>9</v>
      </c>
      <c r="B13" s="7" t="s">
        <v>1639</v>
      </c>
      <c r="C13" s="6" t="s">
        <v>44</v>
      </c>
      <c r="D13" s="6" t="s">
        <v>1608</v>
      </c>
      <c r="E13" s="7" t="s">
        <v>1640</v>
      </c>
      <c r="F13" s="7" t="s">
        <v>1641</v>
      </c>
      <c r="G13" s="7" t="s">
        <v>1642</v>
      </c>
      <c r="H13" s="7" t="s">
        <v>1643</v>
      </c>
      <c r="I13" s="7" t="s">
        <v>1644</v>
      </c>
      <c r="J13" s="7" t="s">
        <v>1645</v>
      </c>
      <c r="K13" s="6" t="s">
        <v>67</v>
      </c>
      <c r="L13" s="7" t="s">
        <v>1646</v>
      </c>
      <c r="M13" s="7"/>
    </row>
    <row r="14" customFormat="false" ht="72" hidden="false" customHeight="true" outlineLevel="0" collapsed="false">
      <c r="A14" s="9" t="n">
        <v>10</v>
      </c>
      <c r="B14" s="10" t="s">
        <v>1647</v>
      </c>
      <c r="C14" s="9" t="s">
        <v>44</v>
      </c>
      <c r="D14" s="9" t="s">
        <v>1580</v>
      </c>
      <c r="E14" s="10" t="s">
        <v>1648</v>
      </c>
      <c r="F14" s="10" t="s">
        <v>1649</v>
      </c>
      <c r="G14" s="10" t="s">
        <v>1650</v>
      </c>
      <c r="H14" s="10" t="s">
        <v>1651</v>
      </c>
      <c r="I14" s="10" t="s">
        <v>1652</v>
      </c>
      <c r="J14" s="10" t="s">
        <v>1653</v>
      </c>
      <c r="K14" s="9" t="s">
        <v>67</v>
      </c>
      <c r="L14" s="10" t="s">
        <v>1654</v>
      </c>
      <c r="M14" s="10"/>
    </row>
    <row r="15" customFormat="false" ht="72" hidden="false" customHeight="true" outlineLevel="0" collapsed="false">
      <c r="A15" s="6" t="n">
        <v>11</v>
      </c>
      <c r="B15" s="7" t="s">
        <v>1655</v>
      </c>
      <c r="C15" s="6" t="s">
        <v>44</v>
      </c>
      <c r="D15" s="6" t="s">
        <v>1608</v>
      </c>
      <c r="E15" s="7" t="s">
        <v>1640</v>
      </c>
      <c r="F15" s="7" t="s">
        <v>1656</v>
      </c>
      <c r="G15" s="7" t="s">
        <v>672</v>
      </c>
      <c r="H15" s="7"/>
      <c r="I15" s="7" t="s">
        <v>671</v>
      </c>
      <c r="J15" s="7" t="s">
        <v>1657</v>
      </c>
      <c r="K15" s="6" t="s">
        <v>67</v>
      </c>
      <c r="L15" s="7" t="s">
        <v>1658</v>
      </c>
      <c r="M15" s="7"/>
    </row>
    <row r="16" customFormat="false" ht="72" hidden="false" customHeight="true" outlineLevel="0" collapsed="false">
      <c r="A16" s="9" t="n">
        <v>12</v>
      </c>
      <c r="B16" s="10" t="s">
        <v>1659</v>
      </c>
      <c r="C16" s="9" t="s">
        <v>44</v>
      </c>
      <c r="D16" s="9" t="s">
        <v>1580</v>
      </c>
      <c r="E16" s="10" t="s">
        <v>1625</v>
      </c>
      <c r="F16" s="10" t="s">
        <v>1660</v>
      </c>
      <c r="G16" s="10" t="s">
        <v>666</v>
      </c>
      <c r="H16" s="10" t="s">
        <v>1661</v>
      </c>
      <c r="I16" s="10" t="s">
        <v>1662</v>
      </c>
      <c r="J16" s="10" t="s">
        <v>1663</v>
      </c>
      <c r="K16" s="9" t="s">
        <v>67</v>
      </c>
      <c r="L16" s="10" t="s">
        <v>1664</v>
      </c>
      <c r="M16" s="10"/>
    </row>
    <row r="17" customFormat="false" ht="72" hidden="false" customHeight="true" outlineLevel="0" collapsed="false">
      <c r="A17" s="6" t="n">
        <v>13</v>
      </c>
      <c r="B17" s="7" t="s">
        <v>663</v>
      </c>
      <c r="C17" s="6" t="s">
        <v>44</v>
      </c>
      <c r="D17" s="6" t="s">
        <v>1608</v>
      </c>
      <c r="E17" s="7" t="s">
        <v>1665</v>
      </c>
      <c r="F17" s="7" t="s">
        <v>1666</v>
      </c>
      <c r="G17" s="7" t="s">
        <v>666</v>
      </c>
      <c r="H17" s="7" t="s">
        <v>665</v>
      </c>
      <c r="I17" s="7" t="s">
        <v>664</v>
      </c>
      <c r="J17" s="7" t="s">
        <v>1667</v>
      </c>
      <c r="K17" s="6" t="s">
        <v>67</v>
      </c>
      <c r="L17" s="7" t="s">
        <v>1668</v>
      </c>
      <c r="M17" s="7"/>
    </row>
    <row r="18" customFormat="false" ht="72" hidden="false" customHeight="true" outlineLevel="0" collapsed="false">
      <c r="A18" s="9" t="n">
        <v>14</v>
      </c>
      <c r="B18" s="10" t="s">
        <v>1669</v>
      </c>
      <c r="C18" s="9" t="s">
        <v>44</v>
      </c>
      <c r="D18" s="9" t="s">
        <v>1608</v>
      </c>
      <c r="E18" s="10" t="s">
        <v>1670</v>
      </c>
      <c r="F18" s="10" t="s">
        <v>1671</v>
      </c>
      <c r="G18" s="10" t="s">
        <v>1672</v>
      </c>
      <c r="H18" s="10" t="s">
        <v>1673</v>
      </c>
      <c r="I18" s="10" t="s">
        <v>1674</v>
      </c>
      <c r="J18" s="10" t="s">
        <v>1675</v>
      </c>
      <c r="K18" s="9" t="s">
        <v>67</v>
      </c>
      <c r="L18" s="10" t="s">
        <v>1676</v>
      </c>
      <c r="M18" s="10"/>
    </row>
    <row r="19" customFormat="false" ht="72" hidden="false" customHeight="true" outlineLevel="0" collapsed="false">
      <c r="A19" s="6" t="n">
        <v>15</v>
      </c>
      <c r="B19" s="7" t="s">
        <v>1677</v>
      </c>
      <c r="C19" s="6" t="s">
        <v>44</v>
      </c>
      <c r="D19" s="6" t="s">
        <v>1580</v>
      </c>
      <c r="E19" s="7" t="s">
        <v>1678</v>
      </c>
      <c r="F19" s="7" t="s">
        <v>1679</v>
      </c>
      <c r="G19" s="7"/>
      <c r="H19" s="7" t="s">
        <v>1680</v>
      </c>
      <c r="I19" s="7" t="s">
        <v>1681</v>
      </c>
      <c r="J19" s="7"/>
      <c r="K19" s="6" t="s">
        <v>67</v>
      </c>
      <c r="L19" s="7" t="s">
        <v>1682</v>
      </c>
      <c r="M19" s="7"/>
    </row>
    <row r="20" customFormat="false" ht="72" hidden="false" customHeight="true" outlineLevel="0" collapsed="false">
      <c r="A20" s="9" t="n">
        <v>16</v>
      </c>
      <c r="B20" s="10" t="s">
        <v>1683</v>
      </c>
      <c r="C20" s="9" t="s">
        <v>44</v>
      </c>
      <c r="D20" s="9" t="s">
        <v>657</v>
      </c>
      <c r="E20" s="10" t="s">
        <v>1684</v>
      </c>
      <c r="F20" s="10" t="s">
        <v>1685</v>
      </c>
      <c r="G20" s="10"/>
      <c r="H20" s="10"/>
      <c r="I20" s="10" t="s">
        <v>675</v>
      </c>
      <c r="J20" s="10"/>
      <c r="K20" s="9" t="s">
        <v>67</v>
      </c>
      <c r="L20" s="10" t="s">
        <v>1686</v>
      </c>
      <c r="M20" s="10"/>
    </row>
    <row r="21" customFormat="false" ht="72" hidden="false" customHeight="true" outlineLevel="0" collapsed="false">
      <c r="A21" s="6" t="n">
        <v>17</v>
      </c>
      <c r="B21" s="7" t="s">
        <v>1687</v>
      </c>
      <c r="C21" s="6" t="s">
        <v>44</v>
      </c>
      <c r="D21" s="6" t="s">
        <v>1688</v>
      </c>
      <c r="E21" s="7" t="s">
        <v>1684</v>
      </c>
      <c r="F21" s="7" t="s">
        <v>1689</v>
      </c>
      <c r="G21" s="7" t="s">
        <v>1690</v>
      </c>
      <c r="H21" s="7"/>
      <c r="I21" s="7" t="s">
        <v>1691</v>
      </c>
      <c r="J21" s="7"/>
      <c r="K21" s="6" t="s">
        <v>75</v>
      </c>
      <c r="L21" s="7" t="s">
        <v>1692</v>
      </c>
      <c r="M21" s="7"/>
    </row>
    <row r="22" customFormat="false" ht="72" hidden="false" customHeight="true" outlineLevel="0" collapsed="false">
      <c r="A22" s="9" t="n">
        <v>18</v>
      </c>
      <c r="B22" s="10" t="s">
        <v>1693</v>
      </c>
      <c r="C22" s="9" t="s">
        <v>44</v>
      </c>
      <c r="D22" s="9" t="s">
        <v>657</v>
      </c>
      <c r="E22" s="10" t="s">
        <v>1684</v>
      </c>
      <c r="F22" s="10" t="s">
        <v>1694</v>
      </c>
      <c r="G22" s="10" t="s">
        <v>1695</v>
      </c>
      <c r="H22" s="10"/>
      <c r="I22" s="10" t="s">
        <v>1696</v>
      </c>
      <c r="J22" s="10"/>
      <c r="K22" s="9" t="s">
        <v>75</v>
      </c>
      <c r="L22" s="10" t="s">
        <v>1697</v>
      </c>
      <c r="M22" s="10"/>
    </row>
    <row r="23" customFormat="false" ht="72" hidden="false" customHeight="true" outlineLevel="0" collapsed="false">
      <c r="A23" s="6" t="n">
        <v>19</v>
      </c>
      <c r="B23" s="7" t="s">
        <v>656</v>
      </c>
      <c r="C23" s="6" t="s">
        <v>44</v>
      </c>
      <c r="D23" s="6" t="s">
        <v>657</v>
      </c>
      <c r="E23" s="7" t="s">
        <v>1684</v>
      </c>
      <c r="F23" s="7" t="s">
        <v>1698</v>
      </c>
      <c r="G23" s="7" t="s">
        <v>660</v>
      </c>
      <c r="H23" s="7" t="s">
        <v>659</v>
      </c>
      <c r="I23" s="7" t="s">
        <v>1699</v>
      </c>
      <c r="J23" s="7" t="s">
        <v>1700</v>
      </c>
      <c r="K23" s="6" t="s">
        <v>75</v>
      </c>
      <c r="L23" s="7" t="s">
        <v>1701</v>
      </c>
      <c r="M23" s="7"/>
    </row>
    <row r="24" customFormat="false" ht="72" hidden="false" customHeight="true" outlineLevel="0" collapsed="false">
      <c r="A24" s="9" t="n">
        <v>20</v>
      </c>
      <c r="B24" s="10" t="s">
        <v>1702</v>
      </c>
      <c r="C24" s="9" t="s">
        <v>44</v>
      </c>
      <c r="D24" s="9" t="s">
        <v>657</v>
      </c>
      <c r="E24" s="10" t="s">
        <v>1684</v>
      </c>
      <c r="F24" s="10" t="s">
        <v>1703</v>
      </c>
      <c r="G24" s="10"/>
      <c r="H24" s="10"/>
      <c r="I24" s="10" t="s">
        <v>1704</v>
      </c>
      <c r="J24" s="10" t="s">
        <v>1705</v>
      </c>
      <c r="K24" s="9" t="s">
        <v>75</v>
      </c>
      <c r="L24" s="10" t="s">
        <v>1706</v>
      </c>
      <c r="M24" s="10"/>
    </row>
    <row r="25" customFormat="false" ht="72" hidden="false" customHeight="true" outlineLevel="0" collapsed="false">
      <c r="A25" s="6" t="n">
        <v>21</v>
      </c>
      <c r="B25" s="7" t="s">
        <v>1707</v>
      </c>
      <c r="C25" s="6" t="s">
        <v>44</v>
      </c>
      <c r="D25" s="6" t="s">
        <v>1608</v>
      </c>
      <c r="E25" s="7" t="s">
        <v>1640</v>
      </c>
      <c r="F25" s="7" t="s">
        <v>1708</v>
      </c>
      <c r="G25" s="7" t="s">
        <v>1709</v>
      </c>
      <c r="H25" s="7" t="s">
        <v>1710</v>
      </c>
      <c r="I25" s="7" t="s">
        <v>1711</v>
      </c>
      <c r="J25" s="7" t="s">
        <v>1712</v>
      </c>
      <c r="K25" s="8" t="s">
        <v>52</v>
      </c>
      <c r="L25" s="7" t="s">
        <v>1713</v>
      </c>
      <c r="M25" s="7"/>
    </row>
    <row r="26" customFormat="false" ht="72" hidden="false" customHeight="true" outlineLevel="0" collapsed="false">
      <c r="A26" s="9" t="n">
        <v>22</v>
      </c>
      <c r="B26" s="10" t="s">
        <v>1714</v>
      </c>
      <c r="C26" s="9" t="s">
        <v>44</v>
      </c>
      <c r="D26" s="9" t="s">
        <v>1608</v>
      </c>
      <c r="E26" s="10" t="s">
        <v>1715</v>
      </c>
      <c r="F26" s="10" t="s">
        <v>1716</v>
      </c>
      <c r="G26" s="10" t="s">
        <v>1717</v>
      </c>
      <c r="H26" s="10" t="s">
        <v>1718</v>
      </c>
      <c r="I26" s="10" t="s">
        <v>1719</v>
      </c>
      <c r="J26" s="10" t="s">
        <v>1720</v>
      </c>
      <c r="K26" s="9" t="s">
        <v>67</v>
      </c>
      <c r="L26" s="10" t="s">
        <v>1721</v>
      </c>
      <c r="M26" s="10"/>
    </row>
    <row r="27" customFormat="false" ht="72" hidden="false" customHeight="true" outlineLevel="0" collapsed="false">
      <c r="A27" s="6" t="n">
        <v>23</v>
      </c>
      <c r="B27" s="7" t="s">
        <v>1722</v>
      </c>
      <c r="C27" s="6" t="s">
        <v>44</v>
      </c>
      <c r="D27" s="6" t="s">
        <v>1608</v>
      </c>
      <c r="E27" s="7" t="s">
        <v>1715</v>
      </c>
      <c r="F27" s="7" t="s">
        <v>1723</v>
      </c>
      <c r="G27" s="7" t="s">
        <v>1650</v>
      </c>
      <c r="H27" s="7" t="s">
        <v>1724</v>
      </c>
      <c r="I27" s="7" t="s">
        <v>1725</v>
      </c>
      <c r="J27" s="7" t="s">
        <v>1726</v>
      </c>
      <c r="K27" s="8" t="s">
        <v>52</v>
      </c>
      <c r="L27" s="7" t="s">
        <v>1727</v>
      </c>
      <c r="M27" s="7"/>
    </row>
    <row r="28" customFormat="false" ht="72" hidden="false" customHeight="true" outlineLevel="0" collapsed="false">
      <c r="A28" s="9" t="n">
        <v>24</v>
      </c>
      <c r="B28" s="10" t="s">
        <v>1728</v>
      </c>
      <c r="C28" s="9" t="s">
        <v>44</v>
      </c>
      <c r="D28" s="9" t="s">
        <v>1608</v>
      </c>
      <c r="E28" s="10" t="s">
        <v>1729</v>
      </c>
      <c r="F28" s="10" t="s">
        <v>1730</v>
      </c>
      <c r="G28" s="10" t="s">
        <v>1731</v>
      </c>
      <c r="H28" s="10" t="s">
        <v>1732</v>
      </c>
      <c r="I28" s="10" t="s">
        <v>1733</v>
      </c>
      <c r="J28" s="10"/>
      <c r="K28" s="9" t="s">
        <v>67</v>
      </c>
      <c r="L28" s="10" t="s">
        <v>1734</v>
      </c>
      <c r="M28" s="10"/>
    </row>
    <row r="29" customFormat="false" ht="72" hidden="false" customHeight="true" outlineLevel="0" collapsed="false">
      <c r="A29" s="6" t="n">
        <v>25</v>
      </c>
      <c r="B29" s="7" t="s">
        <v>1735</v>
      </c>
      <c r="C29" s="6" t="s">
        <v>44</v>
      </c>
      <c r="D29" s="6" t="s">
        <v>1608</v>
      </c>
      <c r="E29" s="7" t="s">
        <v>1715</v>
      </c>
      <c r="F29" s="7" t="s">
        <v>1736</v>
      </c>
      <c r="G29" s="7" t="s">
        <v>1737</v>
      </c>
      <c r="H29" s="7" t="s">
        <v>1738</v>
      </c>
      <c r="I29" s="7" t="s">
        <v>1739</v>
      </c>
      <c r="J29" s="7"/>
      <c r="K29" s="8" t="s">
        <v>52</v>
      </c>
      <c r="L29" s="7" t="s">
        <v>1740</v>
      </c>
      <c r="M29" s="7"/>
    </row>
    <row r="30" customFormat="false" ht="72" hidden="false" customHeight="true" outlineLevel="0" collapsed="false">
      <c r="A30" s="9" t="n">
        <v>26</v>
      </c>
      <c r="B30" s="10" t="s">
        <v>1741</v>
      </c>
      <c r="C30" s="9" t="s">
        <v>44</v>
      </c>
      <c r="D30" s="9" t="s">
        <v>1742</v>
      </c>
      <c r="E30" s="10" t="s">
        <v>1743</v>
      </c>
      <c r="F30" s="10" t="s">
        <v>1744</v>
      </c>
      <c r="G30" s="10" t="s">
        <v>1745</v>
      </c>
      <c r="H30" s="10"/>
      <c r="I30" s="10"/>
      <c r="J30" s="10" t="s">
        <v>1746</v>
      </c>
      <c r="K30" s="9" t="s">
        <v>67</v>
      </c>
      <c r="L30" s="10" t="s">
        <v>1747</v>
      </c>
      <c r="M30" s="10"/>
    </row>
    <row r="31" customFormat="false" ht="72" hidden="false" customHeight="true" outlineLevel="0" collapsed="false">
      <c r="A31" s="6" t="n">
        <v>27</v>
      </c>
      <c r="B31" s="7" t="s">
        <v>1748</v>
      </c>
      <c r="C31" s="6" t="s">
        <v>44</v>
      </c>
      <c r="D31" s="6" t="s">
        <v>1580</v>
      </c>
      <c r="E31" s="7" t="s">
        <v>1749</v>
      </c>
      <c r="F31" s="7" t="s">
        <v>1750</v>
      </c>
      <c r="G31" s="7"/>
      <c r="H31" s="7"/>
      <c r="I31" s="7" t="s">
        <v>1751</v>
      </c>
      <c r="J31" s="7"/>
      <c r="K31" s="6" t="s">
        <v>67</v>
      </c>
      <c r="L31" s="7" t="s">
        <v>1752</v>
      </c>
      <c r="M31" s="7"/>
    </row>
    <row r="32" customFormat="false" ht="72" hidden="false" customHeight="true" outlineLevel="0" collapsed="false">
      <c r="A32" s="9" t="n">
        <v>28</v>
      </c>
      <c r="B32" s="10" t="s">
        <v>1753</v>
      </c>
      <c r="C32" s="9" t="s">
        <v>44</v>
      </c>
      <c r="D32" s="9" t="s">
        <v>1580</v>
      </c>
      <c r="E32" s="10" t="s">
        <v>1749</v>
      </c>
      <c r="F32" s="10" t="s">
        <v>1754</v>
      </c>
      <c r="G32" s="10"/>
      <c r="H32" s="10"/>
      <c r="I32" s="10" t="s">
        <v>1755</v>
      </c>
      <c r="J32" s="10"/>
      <c r="K32" s="9" t="s">
        <v>75</v>
      </c>
      <c r="L32" s="10" t="s">
        <v>1756</v>
      </c>
      <c r="M32" s="10"/>
    </row>
    <row r="33" customFormat="false" ht="72" hidden="false" customHeight="true" outlineLevel="0" collapsed="false">
      <c r="A33" s="6" t="n">
        <v>29</v>
      </c>
      <c r="B33" s="7" t="s">
        <v>1757</v>
      </c>
      <c r="C33" s="6" t="s">
        <v>44</v>
      </c>
      <c r="D33" s="6" t="s">
        <v>1580</v>
      </c>
      <c r="E33" s="7" t="s">
        <v>1758</v>
      </c>
      <c r="F33" s="7" t="s">
        <v>1759</v>
      </c>
      <c r="G33" s="7"/>
      <c r="H33" s="7"/>
      <c r="I33" s="7"/>
      <c r="J33" s="7" t="s">
        <v>1760</v>
      </c>
      <c r="K33" s="6" t="s">
        <v>75</v>
      </c>
      <c r="L33" s="7" t="s">
        <v>1761</v>
      </c>
      <c r="M33" s="7"/>
    </row>
    <row r="34" customFormat="false" ht="72" hidden="false" customHeight="true" outlineLevel="0" collapsed="false">
      <c r="A34" s="9" t="n">
        <v>30</v>
      </c>
      <c r="B34" s="10" t="s">
        <v>1762</v>
      </c>
      <c r="C34" s="9" t="s">
        <v>44</v>
      </c>
      <c r="D34" s="9" t="s">
        <v>657</v>
      </c>
      <c r="E34" s="10" t="s">
        <v>1684</v>
      </c>
      <c r="F34" s="10" t="s">
        <v>1763</v>
      </c>
      <c r="G34" s="10"/>
      <c r="H34" s="10"/>
      <c r="I34" s="10" t="s">
        <v>1764</v>
      </c>
      <c r="J34" s="10"/>
      <c r="K34" s="9" t="s">
        <v>75</v>
      </c>
      <c r="L34" s="10" t="s">
        <v>1765</v>
      </c>
      <c r="M34" s="10"/>
    </row>
    <row r="35" customFormat="false" ht="72" hidden="false" customHeight="true" outlineLevel="0" collapsed="false">
      <c r="A35" s="6" t="n">
        <v>31</v>
      </c>
      <c r="B35" s="7" t="s">
        <v>1766</v>
      </c>
      <c r="C35" s="6" t="s">
        <v>44</v>
      </c>
      <c r="D35" s="6" t="s">
        <v>1767</v>
      </c>
      <c r="E35" s="7" t="s">
        <v>1684</v>
      </c>
      <c r="F35" s="7" t="s">
        <v>1768</v>
      </c>
      <c r="G35" s="7" t="s">
        <v>1769</v>
      </c>
      <c r="H35" s="7"/>
      <c r="I35" s="7" t="s">
        <v>1770</v>
      </c>
      <c r="J35" s="7"/>
      <c r="K35" s="6" t="s">
        <v>75</v>
      </c>
      <c r="L35" s="7" t="s">
        <v>1771</v>
      </c>
      <c r="M35" s="7"/>
    </row>
    <row r="36" customFormat="false" ht="72" hidden="false" customHeight="true" outlineLevel="0" collapsed="false">
      <c r="A36" s="9" t="n">
        <v>32</v>
      </c>
      <c r="B36" s="10" t="s">
        <v>1772</v>
      </c>
      <c r="C36" s="9" t="s">
        <v>308</v>
      </c>
      <c r="D36" s="9" t="s">
        <v>657</v>
      </c>
      <c r="E36" s="10" t="s">
        <v>1684</v>
      </c>
      <c r="F36" s="10" t="s">
        <v>1773</v>
      </c>
      <c r="G36" s="10"/>
      <c r="H36" s="10"/>
      <c r="I36" s="10" t="s">
        <v>1774</v>
      </c>
      <c r="J36" s="10"/>
      <c r="K36" s="8" t="s">
        <v>52</v>
      </c>
      <c r="L36" s="10" t="s">
        <v>1775</v>
      </c>
      <c r="M36" s="10"/>
    </row>
    <row r="37" customFormat="false" ht="72" hidden="false" customHeight="true" outlineLevel="0" collapsed="false">
      <c r="A37" s="6" t="n">
        <v>33</v>
      </c>
      <c r="B37" s="7" t="s">
        <v>1776</v>
      </c>
      <c r="C37" s="6" t="s">
        <v>308</v>
      </c>
      <c r="D37" s="6" t="s">
        <v>1580</v>
      </c>
      <c r="E37" s="7" t="s">
        <v>1684</v>
      </c>
      <c r="F37" s="7" t="s">
        <v>1777</v>
      </c>
      <c r="G37" s="7"/>
      <c r="H37" s="7"/>
      <c r="I37" s="7" t="s">
        <v>1778</v>
      </c>
      <c r="J37" s="7" t="s">
        <v>1779</v>
      </c>
      <c r="K37" s="8" t="s">
        <v>52</v>
      </c>
      <c r="L37" s="7" t="s">
        <v>1780</v>
      </c>
      <c r="M37" s="7"/>
    </row>
    <row r="38" customFormat="false" ht="72" hidden="false" customHeight="true" outlineLevel="0" collapsed="false">
      <c r="A38" s="9" t="n">
        <v>34</v>
      </c>
      <c r="B38" s="10" t="s">
        <v>1781</v>
      </c>
      <c r="C38" s="9" t="s">
        <v>308</v>
      </c>
      <c r="D38" s="9" t="s">
        <v>657</v>
      </c>
      <c r="E38" s="10" t="s">
        <v>1684</v>
      </c>
      <c r="F38" s="10" t="s">
        <v>1782</v>
      </c>
      <c r="G38" s="10"/>
      <c r="H38" s="10"/>
      <c r="I38" s="10" t="s">
        <v>1783</v>
      </c>
      <c r="J38" s="10" t="s">
        <v>1784</v>
      </c>
      <c r="K38" s="8" t="s">
        <v>52</v>
      </c>
      <c r="L38" s="10" t="s">
        <v>1785</v>
      </c>
      <c r="M38" s="10"/>
    </row>
    <row r="39" customFormat="false" ht="72" hidden="false" customHeight="true" outlineLevel="0" collapsed="false">
      <c r="A39" s="6" t="n">
        <v>35</v>
      </c>
      <c r="B39" s="7" t="s">
        <v>1786</v>
      </c>
      <c r="C39" s="6" t="s">
        <v>308</v>
      </c>
      <c r="D39" s="6" t="s">
        <v>1580</v>
      </c>
      <c r="E39" s="7" t="s">
        <v>1684</v>
      </c>
      <c r="F39" s="7" t="s">
        <v>1787</v>
      </c>
      <c r="G39" s="7"/>
      <c r="H39" s="7"/>
      <c r="I39" s="7"/>
      <c r="J39" s="7" t="s">
        <v>37</v>
      </c>
      <c r="K39" s="6" t="s">
        <v>67</v>
      </c>
      <c r="L39" s="7" t="s">
        <v>1788</v>
      </c>
      <c r="M39" s="7"/>
    </row>
    <row r="40" customFormat="false" ht="72" hidden="false" customHeight="true" outlineLevel="0" collapsed="false">
      <c r="A40" s="9" t="n">
        <v>36</v>
      </c>
      <c r="B40" s="10" t="s">
        <v>1789</v>
      </c>
      <c r="C40" s="9" t="s">
        <v>308</v>
      </c>
      <c r="D40" s="9" t="s">
        <v>1580</v>
      </c>
      <c r="E40" s="10" t="s">
        <v>1790</v>
      </c>
      <c r="F40" s="10" t="s">
        <v>1791</v>
      </c>
      <c r="G40" s="10"/>
      <c r="H40" s="10"/>
      <c r="I40" s="10" t="s">
        <v>1792</v>
      </c>
      <c r="J40" s="10" t="s">
        <v>1793</v>
      </c>
      <c r="K40" s="9" t="s">
        <v>67</v>
      </c>
      <c r="L40" s="10" t="s">
        <v>1794</v>
      </c>
      <c r="M40" s="10"/>
    </row>
    <row r="41" customFormat="false" ht="72" hidden="false" customHeight="true" outlineLevel="0" collapsed="false">
      <c r="A41" s="6" t="n">
        <v>37</v>
      </c>
      <c r="B41" s="7" t="s">
        <v>1795</v>
      </c>
      <c r="C41" s="6" t="s">
        <v>308</v>
      </c>
      <c r="D41" s="6" t="s">
        <v>657</v>
      </c>
      <c r="E41" s="7" t="s">
        <v>1684</v>
      </c>
      <c r="F41" s="7" t="s">
        <v>1796</v>
      </c>
      <c r="G41" s="7"/>
      <c r="H41" s="7"/>
      <c r="I41" s="7" t="s">
        <v>1797</v>
      </c>
      <c r="J41" s="7" t="s">
        <v>1798</v>
      </c>
      <c r="K41" s="6" t="s">
        <v>75</v>
      </c>
      <c r="L41" s="7" t="s">
        <v>1799</v>
      </c>
      <c r="M41" s="7"/>
    </row>
    <row r="42" customFormat="false" ht="72" hidden="false" customHeight="true" outlineLevel="0" collapsed="false">
      <c r="A42" s="9" t="n">
        <v>38</v>
      </c>
      <c r="B42" s="10" t="s">
        <v>1800</v>
      </c>
      <c r="C42" s="9" t="s">
        <v>308</v>
      </c>
      <c r="D42" s="9" t="s">
        <v>657</v>
      </c>
      <c r="E42" s="10" t="s">
        <v>1684</v>
      </c>
      <c r="F42" s="10" t="s">
        <v>1801</v>
      </c>
      <c r="G42" s="10"/>
      <c r="H42" s="10"/>
      <c r="I42" s="10" t="s">
        <v>1802</v>
      </c>
      <c r="J42" s="10" t="s">
        <v>1803</v>
      </c>
      <c r="K42" s="9" t="s">
        <v>75</v>
      </c>
      <c r="L42" s="10" t="s">
        <v>1804</v>
      </c>
      <c r="M42" s="10"/>
    </row>
    <row r="43" customFormat="false" ht="72" hidden="false" customHeight="true" outlineLevel="0" collapsed="false">
      <c r="A43" s="6" t="n">
        <v>39</v>
      </c>
      <c r="B43" s="7" t="s">
        <v>1805</v>
      </c>
      <c r="C43" s="6" t="s">
        <v>308</v>
      </c>
      <c r="D43" s="6" t="s">
        <v>657</v>
      </c>
      <c r="E43" s="7" t="s">
        <v>1684</v>
      </c>
      <c r="F43" s="7" t="s">
        <v>1806</v>
      </c>
      <c r="G43" s="7"/>
      <c r="H43" s="7"/>
      <c r="I43" s="7" t="s">
        <v>1807</v>
      </c>
      <c r="J43" s="7" t="s">
        <v>1808</v>
      </c>
      <c r="K43" s="6" t="s">
        <v>75</v>
      </c>
      <c r="L43" s="7" t="s">
        <v>1809</v>
      </c>
      <c r="M43" s="7"/>
    </row>
    <row r="45" customFormat="false" ht="15" hidden="false" customHeight="false" outlineLevel="0" collapsed="false">
      <c r="B45" s="11" t="s">
        <v>1810</v>
      </c>
      <c r="C45" s="12" t="n">
        <f aca="false">COUNTA(B5:B43)</f>
        <v>39</v>
      </c>
    </row>
    <row r="46" customFormat="false" ht="15" hidden="false" customHeight="false" outlineLevel="0" collapsed="false">
      <c r="B46" s="11" t="s">
        <v>1811</v>
      </c>
      <c r="C46" s="12" t="n">
        <f aca="false">COUNTIF(K5:K43,"High")</f>
        <v>13</v>
      </c>
    </row>
    <row r="47" customFormat="false" ht="15" hidden="false" customHeight="false" outlineLevel="0" collapsed="false">
      <c r="B47" s="11" t="s">
        <v>1812</v>
      </c>
      <c r="C47" s="12" t="n">
        <f aca="false">COUNTIF(D5:D43,"Atakum")</f>
        <v>14</v>
      </c>
    </row>
    <row r="48" customFormat="false" ht="15" hidden="false" customHeight="false" outlineLevel="0" collapsed="false">
      <c r="B48" s="11" t="s">
        <v>1813</v>
      </c>
      <c r="C48" s="12" t="n">
        <f aca="false">COUNTIF(D5:D43,"İlkadım")</f>
        <v>12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4" min="3" style="0" width="14"/>
    <col collapsed="false" customWidth="true" hidden="false" outlineLevel="0" max="5" min="5" style="0" width="22"/>
    <col collapsed="false" customWidth="true" hidden="false" outlineLevel="0" max="6" min="6" style="0" width="58"/>
    <col collapsed="false" customWidth="true" hidden="false" outlineLevel="0" max="7" min="7" style="0" width="20"/>
    <col collapsed="false" customWidth="true" hidden="false" outlineLevel="0" max="8" min="8" style="0" width="28"/>
    <col collapsed="false" customWidth="true" hidden="false" outlineLevel="0" max="9" min="9" style="0" width="32"/>
    <col collapsed="false" customWidth="true" hidden="false" outlineLevel="0" max="10" min="10" style="0" width="30"/>
    <col collapsed="false" customWidth="true" hidden="false" outlineLevel="0" max="11" min="11" style="0" width="13"/>
    <col collapsed="false" customWidth="true" hidden="false" outlineLevel="0" max="12" min="12" style="0" width="52"/>
    <col collapsed="false" customWidth="true" hidden="false" outlineLevel="0" max="13" min="13" style="0" width="14"/>
  </cols>
  <sheetData>
    <row r="1" customFormat="false" ht="19.7" hidden="false" customHeight="false" outlineLevel="0" collapsed="false">
      <c r="A1" s="1" t="s">
        <v>1814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43.5" hidden="false" customHeight="true" outlineLevel="0" collapsed="false">
      <c r="A2" s="13" t="s">
        <v>1815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customFormat="false" ht="31.5" hidden="false" customHeight="true" outlineLevel="0" collapsed="false">
      <c r="A4" s="5" t="s">
        <v>30</v>
      </c>
      <c r="B4" s="5" t="s">
        <v>44</v>
      </c>
      <c r="C4" s="5" t="s">
        <v>32</v>
      </c>
      <c r="D4" s="5" t="s">
        <v>1573</v>
      </c>
      <c r="E4" s="5" t="s">
        <v>1574</v>
      </c>
      <c r="F4" s="5" t="s">
        <v>1575</v>
      </c>
      <c r="G4" s="5" t="s">
        <v>36</v>
      </c>
      <c r="H4" s="5" t="s">
        <v>35</v>
      </c>
      <c r="I4" s="5" t="s">
        <v>34</v>
      </c>
      <c r="J4" s="5" t="s">
        <v>1576</v>
      </c>
      <c r="K4" s="5" t="s">
        <v>1577</v>
      </c>
      <c r="L4" s="5" t="s">
        <v>1578</v>
      </c>
      <c r="M4" s="5" t="s">
        <v>1579</v>
      </c>
    </row>
    <row r="5" customFormat="false" ht="72" hidden="false" customHeight="true" outlineLevel="0" collapsed="false">
      <c r="A5" s="6" t="n">
        <v>1</v>
      </c>
      <c r="B5" s="7" t="s">
        <v>244</v>
      </c>
      <c r="C5" s="6" t="s">
        <v>44</v>
      </c>
      <c r="D5" s="6" t="s">
        <v>1816</v>
      </c>
      <c r="E5" s="7" t="s">
        <v>1729</v>
      </c>
      <c r="F5" s="7" t="s">
        <v>1817</v>
      </c>
      <c r="G5" s="7" t="s">
        <v>247</v>
      </c>
      <c r="H5" s="7" t="s">
        <v>246</v>
      </c>
      <c r="I5" s="7" t="s">
        <v>245</v>
      </c>
      <c r="J5" s="7" t="s">
        <v>1818</v>
      </c>
      <c r="K5" s="8" t="s">
        <v>52</v>
      </c>
      <c r="L5" s="7" t="s">
        <v>1819</v>
      </c>
      <c r="M5" s="7"/>
    </row>
    <row r="6" customFormat="false" ht="72" hidden="false" customHeight="true" outlineLevel="0" collapsed="false">
      <c r="A6" s="9" t="n">
        <v>2</v>
      </c>
      <c r="B6" s="10" t="s">
        <v>262</v>
      </c>
      <c r="C6" s="9" t="s">
        <v>44</v>
      </c>
      <c r="D6" s="9" t="s">
        <v>1816</v>
      </c>
      <c r="E6" s="10" t="s">
        <v>1729</v>
      </c>
      <c r="F6" s="10" t="s">
        <v>1820</v>
      </c>
      <c r="G6" s="10" t="s">
        <v>264</v>
      </c>
      <c r="H6" s="10" t="s">
        <v>1821</v>
      </c>
      <c r="I6" s="10" t="s">
        <v>263</v>
      </c>
      <c r="J6" s="10" t="s">
        <v>1822</v>
      </c>
      <c r="K6" s="8" t="s">
        <v>52</v>
      </c>
      <c r="L6" s="10" t="s">
        <v>1823</v>
      </c>
      <c r="M6" s="10"/>
    </row>
    <row r="7" customFormat="false" ht="72" hidden="false" customHeight="true" outlineLevel="0" collapsed="false">
      <c r="A7" s="6" t="n">
        <v>3</v>
      </c>
      <c r="B7" s="7" t="s">
        <v>1824</v>
      </c>
      <c r="C7" s="6" t="s">
        <v>44</v>
      </c>
      <c r="D7" s="6" t="s">
        <v>1816</v>
      </c>
      <c r="E7" s="7" t="s">
        <v>1729</v>
      </c>
      <c r="F7" s="7" t="s">
        <v>1825</v>
      </c>
      <c r="G7" s="7" t="s">
        <v>1826</v>
      </c>
      <c r="H7" s="7" t="s">
        <v>1827</v>
      </c>
      <c r="I7" s="7" t="s">
        <v>1828</v>
      </c>
      <c r="J7" s="7" t="s">
        <v>1829</v>
      </c>
      <c r="K7" s="8" t="s">
        <v>52</v>
      </c>
      <c r="L7" s="7" t="s">
        <v>1830</v>
      </c>
      <c r="M7" s="7"/>
    </row>
    <row r="8" customFormat="false" ht="72" hidden="false" customHeight="true" outlineLevel="0" collapsed="false">
      <c r="A8" s="9" t="n">
        <v>4</v>
      </c>
      <c r="B8" s="10" t="s">
        <v>1831</v>
      </c>
      <c r="C8" s="9" t="s">
        <v>44</v>
      </c>
      <c r="D8" s="9" t="s">
        <v>1816</v>
      </c>
      <c r="E8" s="10" t="s">
        <v>1729</v>
      </c>
      <c r="F8" s="10" t="s">
        <v>1832</v>
      </c>
      <c r="G8" s="10"/>
      <c r="H8" s="10"/>
      <c r="I8" s="10" t="s">
        <v>1833</v>
      </c>
      <c r="J8" s="10"/>
      <c r="K8" s="9" t="s">
        <v>67</v>
      </c>
      <c r="L8" s="10" t="s">
        <v>1834</v>
      </c>
      <c r="M8" s="10"/>
    </row>
    <row r="9" customFormat="false" ht="72" hidden="false" customHeight="true" outlineLevel="0" collapsed="false">
      <c r="A9" s="6" t="n">
        <v>5</v>
      </c>
      <c r="B9" s="7" t="s">
        <v>1835</v>
      </c>
      <c r="C9" s="6" t="s">
        <v>44</v>
      </c>
      <c r="D9" s="6" t="s">
        <v>1816</v>
      </c>
      <c r="E9" s="7" t="s">
        <v>1729</v>
      </c>
      <c r="F9" s="7" t="s">
        <v>1836</v>
      </c>
      <c r="G9" s="7"/>
      <c r="H9" s="7"/>
      <c r="I9" s="7" t="s">
        <v>1837</v>
      </c>
      <c r="J9" s="7"/>
      <c r="K9" s="6" t="s">
        <v>67</v>
      </c>
      <c r="L9" s="7" t="s">
        <v>1838</v>
      </c>
      <c r="M9" s="7"/>
    </row>
    <row r="10" customFormat="false" ht="72" hidden="false" customHeight="true" outlineLevel="0" collapsed="false">
      <c r="A10" s="9" t="n">
        <v>6</v>
      </c>
      <c r="B10" s="10" t="s">
        <v>1839</v>
      </c>
      <c r="C10" s="9" t="s">
        <v>44</v>
      </c>
      <c r="D10" s="9" t="s">
        <v>1816</v>
      </c>
      <c r="E10" s="10" t="s">
        <v>1729</v>
      </c>
      <c r="F10" s="10" t="s">
        <v>1840</v>
      </c>
      <c r="G10" s="10" t="s">
        <v>1841</v>
      </c>
      <c r="H10" s="10"/>
      <c r="I10" s="10" t="s">
        <v>1842</v>
      </c>
      <c r="J10" s="10" t="s">
        <v>1843</v>
      </c>
      <c r="K10" s="9" t="s">
        <v>67</v>
      </c>
      <c r="L10" s="10" t="s">
        <v>1844</v>
      </c>
      <c r="M10" s="10"/>
    </row>
    <row r="11" customFormat="false" ht="72" hidden="false" customHeight="true" outlineLevel="0" collapsed="false">
      <c r="A11" s="6" t="n">
        <v>7</v>
      </c>
      <c r="B11" s="7" t="s">
        <v>1845</v>
      </c>
      <c r="C11" s="6" t="s">
        <v>44</v>
      </c>
      <c r="D11" s="6" t="s">
        <v>1816</v>
      </c>
      <c r="E11" s="7" t="s">
        <v>1846</v>
      </c>
      <c r="F11" s="7" t="s">
        <v>1847</v>
      </c>
      <c r="G11" s="7" t="s">
        <v>1848</v>
      </c>
      <c r="H11" s="7"/>
      <c r="I11" s="7" t="s">
        <v>1849</v>
      </c>
      <c r="J11" s="7" t="s">
        <v>1850</v>
      </c>
      <c r="K11" s="8" t="s">
        <v>52</v>
      </c>
      <c r="L11" s="7" t="s">
        <v>1851</v>
      </c>
      <c r="M11" s="7"/>
    </row>
    <row r="12" customFormat="false" ht="72" hidden="false" customHeight="true" outlineLevel="0" collapsed="false">
      <c r="A12" s="9" t="n">
        <v>8</v>
      </c>
      <c r="B12" s="10" t="s">
        <v>1526</v>
      </c>
      <c r="C12" s="9" t="s">
        <v>44</v>
      </c>
      <c r="D12" s="9" t="s">
        <v>1816</v>
      </c>
      <c r="E12" s="10" t="s">
        <v>1846</v>
      </c>
      <c r="F12" s="10" t="s">
        <v>1852</v>
      </c>
      <c r="G12" s="10" t="s">
        <v>1530</v>
      </c>
      <c r="H12" s="10" t="s">
        <v>1529</v>
      </c>
      <c r="I12" s="10" t="s">
        <v>1528</v>
      </c>
      <c r="J12" s="10" t="s">
        <v>1853</v>
      </c>
      <c r="K12" s="8" t="s">
        <v>52</v>
      </c>
      <c r="L12" s="10" t="s">
        <v>1854</v>
      </c>
      <c r="M12" s="10"/>
    </row>
    <row r="13" customFormat="false" ht="72" hidden="false" customHeight="true" outlineLevel="0" collapsed="false">
      <c r="A13" s="6" t="n">
        <v>9</v>
      </c>
      <c r="B13" s="7" t="s">
        <v>1855</v>
      </c>
      <c r="C13" s="6" t="s">
        <v>44</v>
      </c>
      <c r="D13" s="6" t="s">
        <v>1856</v>
      </c>
      <c r="E13" s="7" t="s">
        <v>1857</v>
      </c>
      <c r="F13" s="7" t="s">
        <v>1858</v>
      </c>
      <c r="G13" s="7" t="s">
        <v>1859</v>
      </c>
      <c r="H13" s="7" t="s">
        <v>1860</v>
      </c>
      <c r="I13" s="7" t="s">
        <v>1861</v>
      </c>
      <c r="J13" s="7" t="s">
        <v>1862</v>
      </c>
      <c r="K13" s="8" t="s">
        <v>52</v>
      </c>
      <c r="L13" s="7" t="s">
        <v>1863</v>
      </c>
      <c r="M13" s="7"/>
    </row>
    <row r="14" customFormat="false" ht="72" hidden="false" customHeight="true" outlineLevel="0" collapsed="false">
      <c r="A14" s="9" t="n">
        <v>10</v>
      </c>
      <c r="B14" s="10" t="s">
        <v>1864</v>
      </c>
      <c r="C14" s="9" t="s">
        <v>44</v>
      </c>
      <c r="D14" s="9" t="s">
        <v>1816</v>
      </c>
      <c r="E14" s="10" t="s">
        <v>1729</v>
      </c>
      <c r="F14" s="10" t="s">
        <v>1865</v>
      </c>
      <c r="G14" s="10"/>
      <c r="H14" s="10" t="s">
        <v>1866</v>
      </c>
      <c r="I14" s="10" t="s">
        <v>1867</v>
      </c>
      <c r="J14" s="10" t="s">
        <v>1868</v>
      </c>
      <c r="K14" s="9" t="s">
        <v>67</v>
      </c>
      <c r="L14" s="10" t="s">
        <v>1869</v>
      </c>
      <c r="M14" s="10"/>
    </row>
    <row r="15" customFormat="false" ht="72" hidden="false" customHeight="true" outlineLevel="0" collapsed="false">
      <c r="A15" s="6" t="n">
        <v>11</v>
      </c>
      <c r="B15" s="7" t="s">
        <v>1870</v>
      </c>
      <c r="C15" s="6" t="s">
        <v>44</v>
      </c>
      <c r="D15" s="6" t="s">
        <v>1816</v>
      </c>
      <c r="E15" s="7" t="s">
        <v>1816</v>
      </c>
      <c r="F15" s="7" t="s">
        <v>1871</v>
      </c>
      <c r="G15" s="7"/>
      <c r="H15" s="7"/>
      <c r="I15" s="7"/>
      <c r="J15" s="7" t="s">
        <v>1872</v>
      </c>
      <c r="K15" s="6" t="s">
        <v>75</v>
      </c>
      <c r="L15" s="7" t="s">
        <v>1873</v>
      </c>
      <c r="M15" s="7"/>
    </row>
    <row r="16" customFormat="false" ht="72" hidden="false" customHeight="true" outlineLevel="0" collapsed="false">
      <c r="A16" s="9" t="n">
        <v>12</v>
      </c>
      <c r="B16" s="10" t="s">
        <v>1874</v>
      </c>
      <c r="C16" s="9" t="s">
        <v>44</v>
      </c>
      <c r="D16" s="9" t="s">
        <v>1856</v>
      </c>
      <c r="E16" s="10" t="s">
        <v>1875</v>
      </c>
      <c r="F16" s="10" t="s">
        <v>1876</v>
      </c>
      <c r="G16" s="10" t="s">
        <v>1877</v>
      </c>
      <c r="H16" s="10" t="s">
        <v>1878</v>
      </c>
      <c r="I16" s="10" t="s">
        <v>1879</v>
      </c>
      <c r="J16" s="10" t="s">
        <v>1880</v>
      </c>
      <c r="K16" s="8" t="s">
        <v>52</v>
      </c>
      <c r="L16" s="10" t="s">
        <v>1881</v>
      </c>
      <c r="M16" s="10"/>
    </row>
    <row r="17" customFormat="false" ht="72" hidden="false" customHeight="true" outlineLevel="0" collapsed="false">
      <c r="A17" s="6" t="n">
        <v>13</v>
      </c>
      <c r="B17" s="7" t="s">
        <v>255</v>
      </c>
      <c r="C17" s="6" t="s">
        <v>44</v>
      </c>
      <c r="D17" s="6" t="s">
        <v>1856</v>
      </c>
      <c r="E17" s="7" t="s">
        <v>1875</v>
      </c>
      <c r="F17" s="7" t="s">
        <v>1882</v>
      </c>
      <c r="G17" s="7" t="s">
        <v>259</v>
      </c>
      <c r="H17" s="7" t="s">
        <v>258</v>
      </c>
      <c r="I17" s="7" t="s">
        <v>257</v>
      </c>
      <c r="J17" s="7" t="s">
        <v>1883</v>
      </c>
      <c r="K17" s="8" t="s">
        <v>52</v>
      </c>
      <c r="L17" s="7" t="s">
        <v>1884</v>
      </c>
      <c r="M17" s="7"/>
    </row>
    <row r="18" customFormat="false" ht="72" hidden="false" customHeight="true" outlineLevel="0" collapsed="false">
      <c r="A18" s="9" t="n">
        <v>14</v>
      </c>
      <c r="B18" s="10" t="s">
        <v>1885</v>
      </c>
      <c r="C18" s="9" t="s">
        <v>44</v>
      </c>
      <c r="D18" s="9" t="s">
        <v>1856</v>
      </c>
      <c r="E18" s="10" t="s">
        <v>1886</v>
      </c>
      <c r="F18" s="10" t="s">
        <v>1887</v>
      </c>
      <c r="G18" s="10" t="s">
        <v>1888</v>
      </c>
      <c r="H18" s="10"/>
      <c r="I18" s="10" t="s">
        <v>1889</v>
      </c>
      <c r="J18" s="10" t="s">
        <v>1890</v>
      </c>
      <c r="K18" s="8" t="s">
        <v>52</v>
      </c>
      <c r="L18" s="10" t="s">
        <v>1891</v>
      </c>
      <c r="M18" s="10"/>
    </row>
    <row r="19" customFormat="false" ht="72" hidden="false" customHeight="true" outlineLevel="0" collapsed="false">
      <c r="A19" s="6" t="n">
        <v>15</v>
      </c>
      <c r="B19" s="7" t="s">
        <v>1892</v>
      </c>
      <c r="C19" s="6" t="s">
        <v>44</v>
      </c>
      <c r="D19" s="6" t="s">
        <v>1856</v>
      </c>
      <c r="E19" s="7" t="s">
        <v>1893</v>
      </c>
      <c r="F19" s="7" t="s">
        <v>1894</v>
      </c>
      <c r="G19" s="7" t="s">
        <v>1895</v>
      </c>
      <c r="H19" s="7" t="s">
        <v>1896</v>
      </c>
      <c r="I19" s="7" t="s">
        <v>1897</v>
      </c>
      <c r="J19" s="7" t="s">
        <v>1898</v>
      </c>
      <c r="K19" s="8" t="s">
        <v>52</v>
      </c>
      <c r="L19" s="7" t="s">
        <v>1899</v>
      </c>
      <c r="M19" s="7"/>
    </row>
    <row r="20" customFormat="false" ht="72" hidden="false" customHeight="true" outlineLevel="0" collapsed="false">
      <c r="A20" s="9" t="n">
        <v>16</v>
      </c>
      <c r="B20" s="10" t="s">
        <v>1900</v>
      </c>
      <c r="C20" s="9" t="s">
        <v>44</v>
      </c>
      <c r="D20" s="9" t="s">
        <v>1856</v>
      </c>
      <c r="E20" s="10" t="s">
        <v>1901</v>
      </c>
      <c r="F20" s="10" t="s">
        <v>1902</v>
      </c>
      <c r="G20" s="10" t="s">
        <v>1903</v>
      </c>
      <c r="H20" s="10" t="s">
        <v>1904</v>
      </c>
      <c r="I20" s="10" t="s">
        <v>1905</v>
      </c>
      <c r="J20" s="10" t="s">
        <v>1906</v>
      </c>
      <c r="K20" s="8" t="s">
        <v>52</v>
      </c>
      <c r="L20" s="10" t="s">
        <v>1907</v>
      </c>
      <c r="M20" s="10"/>
    </row>
    <row r="21" customFormat="false" ht="72" hidden="false" customHeight="true" outlineLevel="0" collapsed="false">
      <c r="A21" s="6" t="n">
        <v>17</v>
      </c>
      <c r="B21" s="7" t="s">
        <v>1908</v>
      </c>
      <c r="C21" s="6" t="s">
        <v>44</v>
      </c>
      <c r="D21" s="6" t="s">
        <v>1856</v>
      </c>
      <c r="E21" s="7" t="s">
        <v>1909</v>
      </c>
      <c r="F21" s="7" t="s">
        <v>1910</v>
      </c>
      <c r="G21" s="7" t="s">
        <v>1911</v>
      </c>
      <c r="H21" s="7" t="s">
        <v>1912</v>
      </c>
      <c r="I21" s="7" t="s">
        <v>1913</v>
      </c>
      <c r="J21" s="7" t="s">
        <v>1914</v>
      </c>
      <c r="K21" s="8" t="s">
        <v>52</v>
      </c>
      <c r="L21" s="7" t="s">
        <v>1915</v>
      </c>
      <c r="M21" s="7"/>
    </row>
    <row r="22" customFormat="false" ht="72" hidden="false" customHeight="true" outlineLevel="0" collapsed="false">
      <c r="A22" s="9" t="n">
        <v>18</v>
      </c>
      <c r="B22" s="10" t="s">
        <v>990</v>
      </c>
      <c r="C22" s="9" t="s">
        <v>44</v>
      </c>
      <c r="D22" s="9" t="s">
        <v>1856</v>
      </c>
      <c r="E22" s="10" t="s">
        <v>1916</v>
      </c>
      <c r="F22" s="10" t="s">
        <v>1917</v>
      </c>
      <c r="G22" s="10" t="s">
        <v>993</v>
      </c>
      <c r="H22" s="10" t="s">
        <v>1918</v>
      </c>
      <c r="I22" s="10" t="s">
        <v>992</v>
      </c>
      <c r="J22" s="10" t="s">
        <v>1919</v>
      </c>
      <c r="K22" s="8" t="s">
        <v>52</v>
      </c>
      <c r="L22" s="10" t="s">
        <v>1920</v>
      </c>
      <c r="M22" s="10"/>
    </row>
    <row r="23" customFormat="false" ht="72" hidden="false" customHeight="true" outlineLevel="0" collapsed="false">
      <c r="A23" s="6" t="n">
        <v>19</v>
      </c>
      <c r="B23" s="7" t="s">
        <v>1921</v>
      </c>
      <c r="C23" s="6" t="s">
        <v>44</v>
      </c>
      <c r="D23" s="6" t="s">
        <v>1856</v>
      </c>
      <c r="E23" s="7" t="s">
        <v>1886</v>
      </c>
      <c r="F23" s="7" t="s">
        <v>1922</v>
      </c>
      <c r="G23" s="7" t="s">
        <v>1923</v>
      </c>
      <c r="H23" s="7"/>
      <c r="I23" s="7" t="s">
        <v>1924</v>
      </c>
      <c r="J23" s="7" t="s">
        <v>1925</v>
      </c>
      <c r="K23" s="6" t="s">
        <v>67</v>
      </c>
      <c r="L23" s="7" t="s">
        <v>1926</v>
      </c>
      <c r="M23" s="7"/>
    </row>
    <row r="24" customFormat="false" ht="72" hidden="false" customHeight="true" outlineLevel="0" collapsed="false">
      <c r="A24" s="9" t="n">
        <v>20</v>
      </c>
      <c r="B24" s="10" t="s">
        <v>1927</v>
      </c>
      <c r="C24" s="9" t="s">
        <v>44</v>
      </c>
      <c r="D24" s="9" t="s">
        <v>1856</v>
      </c>
      <c r="E24" s="10" t="s">
        <v>1886</v>
      </c>
      <c r="F24" s="10" t="s">
        <v>1928</v>
      </c>
      <c r="G24" s="10" t="s">
        <v>1888</v>
      </c>
      <c r="H24" s="10"/>
      <c r="I24" s="10" t="s">
        <v>1929</v>
      </c>
      <c r="J24" s="10"/>
      <c r="K24" s="9" t="s">
        <v>67</v>
      </c>
      <c r="L24" s="10" t="s">
        <v>1930</v>
      </c>
      <c r="M24" s="10"/>
    </row>
    <row r="25" customFormat="false" ht="72" hidden="false" customHeight="true" outlineLevel="0" collapsed="false">
      <c r="A25" s="6" t="n">
        <v>21</v>
      </c>
      <c r="B25" s="7" t="s">
        <v>1931</v>
      </c>
      <c r="C25" s="6" t="s">
        <v>44</v>
      </c>
      <c r="D25" s="6" t="s">
        <v>1856</v>
      </c>
      <c r="E25" s="7" t="s">
        <v>1875</v>
      </c>
      <c r="F25" s="7" t="s">
        <v>1932</v>
      </c>
      <c r="G25" s="7" t="s">
        <v>1933</v>
      </c>
      <c r="H25" s="7"/>
      <c r="I25" s="7" t="s">
        <v>1934</v>
      </c>
      <c r="J25" s="7" t="s">
        <v>1935</v>
      </c>
      <c r="K25" s="8" t="s">
        <v>52</v>
      </c>
      <c r="L25" s="7" t="s">
        <v>1936</v>
      </c>
      <c r="M25" s="7"/>
    </row>
    <row r="26" customFormat="false" ht="72" hidden="false" customHeight="true" outlineLevel="0" collapsed="false">
      <c r="A26" s="9" t="n">
        <v>22</v>
      </c>
      <c r="B26" s="10" t="s">
        <v>1937</v>
      </c>
      <c r="C26" s="9" t="s">
        <v>44</v>
      </c>
      <c r="D26" s="9" t="s">
        <v>1856</v>
      </c>
      <c r="E26" s="10" t="s">
        <v>1846</v>
      </c>
      <c r="F26" s="10" t="s">
        <v>1938</v>
      </c>
      <c r="G26" s="10" t="s">
        <v>1933</v>
      </c>
      <c r="H26" s="10"/>
      <c r="I26" s="10" t="s">
        <v>1939</v>
      </c>
      <c r="J26" s="10"/>
      <c r="K26" s="8" t="s">
        <v>52</v>
      </c>
      <c r="L26" s="10" t="s">
        <v>1940</v>
      </c>
      <c r="M26" s="10"/>
    </row>
    <row r="27" customFormat="false" ht="72" hidden="false" customHeight="true" outlineLevel="0" collapsed="false">
      <c r="A27" s="6" t="n">
        <v>23</v>
      </c>
      <c r="B27" s="7" t="s">
        <v>1941</v>
      </c>
      <c r="C27" s="6" t="s">
        <v>44</v>
      </c>
      <c r="D27" s="6" t="s">
        <v>1856</v>
      </c>
      <c r="E27" s="7" t="s">
        <v>1901</v>
      </c>
      <c r="F27" s="7" t="s">
        <v>1942</v>
      </c>
      <c r="G27" s="7"/>
      <c r="H27" s="7"/>
      <c r="I27" s="7" t="s">
        <v>1943</v>
      </c>
      <c r="J27" s="7" t="s">
        <v>1944</v>
      </c>
      <c r="K27" s="6" t="s">
        <v>67</v>
      </c>
      <c r="L27" s="7" t="s">
        <v>1945</v>
      </c>
      <c r="M27" s="7"/>
    </row>
    <row r="28" customFormat="false" ht="72" hidden="false" customHeight="true" outlineLevel="0" collapsed="false">
      <c r="A28" s="9" t="n">
        <v>24</v>
      </c>
      <c r="B28" s="10" t="s">
        <v>1065</v>
      </c>
      <c r="C28" s="9" t="s">
        <v>44</v>
      </c>
      <c r="D28" s="9" t="s">
        <v>1856</v>
      </c>
      <c r="E28" s="10" t="s">
        <v>1946</v>
      </c>
      <c r="F28" s="10" t="s">
        <v>1947</v>
      </c>
      <c r="G28" s="10" t="s">
        <v>1069</v>
      </c>
      <c r="H28" s="10" t="s">
        <v>1068</v>
      </c>
      <c r="I28" s="10" t="s">
        <v>1067</v>
      </c>
      <c r="J28" s="10" t="s">
        <v>1948</v>
      </c>
      <c r="K28" s="8" t="s">
        <v>52</v>
      </c>
      <c r="L28" s="10" t="s">
        <v>1949</v>
      </c>
      <c r="M28" s="10"/>
    </row>
    <row r="29" customFormat="false" ht="72" hidden="false" customHeight="true" outlineLevel="0" collapsed="false">
      <c r="A29" s="6" t="n">
        <v>25</v>
      </c>
      <c r="B29" s="7" t="s">
        <v>1950</v>
      </c>
      <c r="C29" s="6" t="s">
        <v>44</v>
      </c>
      <c r="D29" s="6" t="s">
        <v>1856</v>
      </c>
      <c r="E29" s="7" t="s">
        <v>1951</v>
      </c>
      <c r="F29" s="7" t="s">
        <v>1952</v>
      </c>
      <c r="G29" s="7" t="s">
        <v>1953</v>
      </c>
      <c r="H29" s="7"/>
      <c r="I29" s="7" t="s">
        <v>1954</v>
      </c>
      <c r="J29" s="7"/>
      <c r="K29" s="6" t="s">
        <v>75</v>
      </c>
      <c r="L29" s="7" t="s">
        <v>1955</v>
      </c>
      <c r="M29" s="7"/>
    </row>
    <row r="30" customFormat="false" ht="72" hidden="false" customHeight="true" outlineLevel="0" collapsed="false">
      <c r="A30" s="9" t="n">
        <v>26</v>
      </c>
      <c r="B30" s="10" t="s">
        <v>1956</v>
      </c>
      <c r="C30" s="9" t="s">
        <v>44</v>
      </c>
      <c r="D30" s="9" t="s">
        <v>1856</v>
      </c>
      <c r="E30" s="10" t="s">
        <v>1886</v>
      </c>
      <c r="F30" s="10" t="s">
        <v>1957</v>
      </c>
      <c r="G30" s="10"/>
      <c r="H30" s="10"/>
      <c r="I30" s="10" t="s">
        <v>1958</v>
      </c>
      <c r="J30" s="10" t="s">
        <v>1959</v>
      </c>
      <c r="K30" s="8" t="s">
        <v>52</v>
      </c>
      <c r="L30" s="10" t="s">
        <v>1960</v>
      </c>
      <c r="M30" s="10"/>
    </row>
    <row r="31" customFormat="false" ht="72" hidden="false" customHeight="true" outlineLevel="0" collapsed="false">
      <c r="A31" s="6" t="n">
        <v>27</v>
      </c>
      <c r="B31" s="7" t="s">
        <v>1961</v>
      </c>
      <c r="C31" s="6" t="s">
        <v>44</v>
      </c>
      <c r="D31" s="6" t="s">
        <v>1856</v>
      </c>
      <c r="E31" s="7" t="s">
        <v>1856</v>
      </c>
      <c r="F31" s="7" t="s">
        <v>1962</v>
      </c>
      <c r="G31" s="7"/>
      <c r="H31" s="7"/>
      <c r="I31" s="7" t="s">
        <v>1963</v>
      </c>
      <c r="J31" s="7" t="s">
        <v>1964</v>
      </c>
      <c r="K31" s="6" t="s">
        <v>67</v>
      </c>
      <c r="L31" s="7" t="s">
        <v>1965</v>
      </c>
      <c r="M31" s="7"/>
    </row>
    <row r="32" customFormat="false" ht="72" hidden="false" customHeight="true" outlineLevel="0" collapsed="false">
      <c r="A32" s="9" t="n">
        <v>28</v>
      </c>
      <c r="B32" s="10" t="s">
        <v>1966</v>
      </c>
      <c r="C32" s="9" t="s">
        <v>44</v>
      </c>
      <c r="D32" s="9" t="s">
        <v>1856</v>
      </c>
      <c r="E32" s="10" t="s">
        <v>1684</v>
      </c>
      <c r="F32" s="10" t="s">
        <v>1962</v>
      </c>
      <c r="G32" s="10"/>
      <c r="H32" s="10" t="s">
        <v>1967</v>
      </c>
      <c r="I32" s="10" t="s">
        <v>1968</v>
      </c>
      <c r="J32" s="10" t="s">
        <v>1969</v>
      </c>
      <c r="K32" s="9" t="s">
        <v>67</v>
      </c>
      <c r="L32" s="10" t="s">
        <v>1970</v>
      </c>
      <c r="M32" s="10"/>
    </row>
    <row r="33" customFormat="false" ht="72" hidden="false" customHeight="true" outlineLevel="0" collapsed="false">
      <c r="A33" s="6" t="n">
        <v>29</v>
      </c>
      <c r="B33" s="7" t="s">
        <v>1971</v>
      </c>
      <c r="C33" s="6" t="s">
        <v>44</v>
      </c>
      <c r="D33" s="6" t="s">
        <v>1856</v>
      </c>
      <c r="E33" s="7" t="s">
        <v>1886</v>
      </c>
      <c r="F33" s="7" t="s">
        <v>1957</v>
      </c>
      <c r="G33" s="7"/>
      <c r="H33" s="7" t="s">
        <v>1972</v>
      </c>
      <c r="I33" s="7" t="s">
        <v>1973</v>
      </c>
      <c r="J33" s="7" t="s">
        <v>1974</v>
      </c>
      <c r="K33" s="6" t="s">
        <v>67</v>
      </c>
      <c r="L33" s="7" t="s">
        <v>1975</v>
      </c>
      <c r="M33" s="7"/>
    </row>
    <row r="34" customFormat="false" ht="72" hidden="false" customHeight="true" outlineLevel="0" collapsed="false">
      <c r="A34" s="9" t="n">
        <v>30</v>
      </c>
      <c r="B34" s="10" t="s">
        <v>1976</v>
      </c>
      <c r="C34" s="9" t="s">
        <v>44</v>
      </c>
      <c r="D34" s="9" t="s">
        <v>1856</v>
      </c>
      <c r="E34" s="10" t="s">
        <v>1684</v>
      </c>
      <c r="F34" s="10" t="s">
        <v>1977</v>
      </c>
      <c r="G34" s="10"/>
      <c r="H34" s="10" t="s">
        <v>1978</v>
      </c>
      <c r="I34" s="10" t="s">
        <v>1979</v>
      </c>
      <c r="J34" s="10" t="s">
        <v>1980</v>
      </c>
      <c r="K34" s="9" t="s">
        <v>75</v>
      </c>
      <c r="L34" s="10" t="s">
        <v>1981</v>
      </c>
      <c r="M34" s="10"/>
    </row>
    <row r="35" customFormat="false" ht="72" hidden="false" customHeight="true" outlineLevel="0" collapsed="false">
      <c r="A35" s="6" t="n">
        <v>31</v>
      </c>
      <c r="B35" s="7" t="s">
        <v>1982</v>
      </c>
      <c r="C35" s="6" t="s">
        <v>44</v>
      </c>
      <c r="D35" s="6" t="s">
        <v>1856</v>
      </c>
      <c r="E35" s="7" t="s">
        <v>1684</v>
      </c>
      <c r="F35" s="7" t="s">
        <v>1977</v>
      </c>
      <c r="G35" s="7"/>
      <c r="H35" s="7"/>
      <c r="I35" s="7" t="s">
        <v>1983</v>
      </c>
      <c r="J35" s="7" t="s">
        <v>1984</v>
      </c>
      <c r="K35" s="6" t="s">
        <v>75</v>
      </c>
      <c r="L35" s="7" t="s">
        <v>1985</v>
      </c>
      <c r="M35" s="7"/>
    </row>
    <row r="36" customFormat="false" ht="72" hidden="false" customHeight="true" outlineLevel="0" collapsed="false">
      <c r="A36" s="9" t="n">
        <v>32</v>
      </c>
      <c r="B36" s="10" t="s">
        <v>249</v>
      </c>
      <c r="C36" s="9" t="s">
        <v>44</v>
      </c>
      <c r="D36" s="9" t="s">
        <v>1986</v>
      </c>
      <c r="E36" s="10" t="s">
        <v>1987</v>
      </c>
      <c r="F36" s="10" t="s">
        <v>1988</v>
      </c>
      <c r="G36" s="10" t="s">
        <v>253</v>
      </c>
      <c r="H36" s="10" t="s">
        <v>252</v>
      </c>
      <c r="I36" s="10" t="s">
        <v>251</v>
      </c>
      <c r="J36" s="10" t="s">
        <v>1989</v>
      </c>
      <c r="K36" s="8" t="s">
        <v>52</v>
      </c>
      <c r="L36" s="10" t="s">
        <v>1990</v>
      </c>
      <c r="M36" s="10"/>
    </row>
    <row r="37" customFormat="false" ht="72" hidden="false" customHeight="true" outlineLevel="0" collapsed="false">
      <c r="A37" s="6" t="n">
        <v>33</v>
      </c>
      <c r="B37" s="7" t="s">
        <v>514</v>
      </c>
      <c r="C37" s="6" t="s">
        <v>44</v>
      </c>
      <c r="D37" s="6" t="s">
        <v>1986</v>
      </c>
      <c r="E37" s="7" t="s">
        <v>1684</v>
      </c>
      <c r="F37" s="7" t="s">
        <v>1991</v>
      </c>
      <c r="G37" s="7" t="s">
        <v>517</v>
      </c>
      <c r="H37" s="7" t="s">
        <v>516</v>
      </c>
      <c r="I37" s="7" t="s">
        <v>515</v>
      </c>
      <c r="J37" s="7" t="s">
        <v>1992</v>
      </c>
      <c r="K37" s="6" t="s">
        <v>67</v>
      </c>
      <c r="L37" s="7" t="s">
        <v>1993</v>
      </c>
      <c r="M37" s="7"/>
    </row>
    <row r="38" customFormat="false" ht="72" hidden="false" customHeight="true" outlineLevel="0" collapsed="false">
      <c r="A38" s="9" t="n">
        <v>34</v>
      </c>
      <c r="B38" s="10" t="s">
        <v>1994</v>
      </c>
      <c r="C38" s="9" t="s">
        <v>44</v>
      </c>
      <c r="D38" s="9" t="s">
        <v>1986</v>
      </c>
      <c r="E38" s="10" t="s">
        <v>1684</v>
      </c>
      <c r="F38" s="10" t="s">
        <v>1995</v>
      </c>
      <c r="G38" s="10" t="s">
        <v>1996</v>
      </c>
      <c r="H38" s="10"/>
      <c r="I38" s="10" t="s">
        <v>1997</v>
      </c>
      <c r="J38" s="10" t="s">
        <v>1998</v>
      </c>
      <c r="K38" s="8" t="s">
        <v>52</v>
      </c>
      <c r="L38" s="10" t="s">
        <v>1999</v>
      </c>
      <c r="M38" s="10"/>
    </row>
    <row r="39" customFormat="false" ht="72" hidden="false" customHeight="true" outlineLevel="0" collapsed="false">
      <c r="A39" s="6" t="n">
        <v>35</v>
      </c>
      <c r="B39" s="7" t="s">
        <v>2000</v>
      </c>
      <c r="C39" s="6" t="s">
        <v>308</v>
      </c>
      <c r="D39" s="6" t="s">
        <v>1986</v>
      </c>
      <c r="E39" s="7" t="s">
        <v>1684</v>
      </c>
      <c r="F39" s="7" t="s">
        <v>2001</v>
      </c>
      <c r="G39" s="7" t="s">
        <v>2002</v>
      </c>
      <c r="H39" s="7" t="s">
        <v>2003</v>
      </c>
      <c r="I39" s="7" t="s">
        <v>2004</v>
      </c>
      <c r="J39" s="7"/>
      <c r="K39" s="6" t="s">
        <v>67</v>
      </c>
      <c r="L39" s="7" t="s">
        <v>2005</v>
      </c>
      <c r="M39" s="7"/>
    </row>
    <row r="40" customFormat="false" ht="72" hidden="false" customHeight="true" outlineLevel="0" collapsed="false">
      <c r="A40" s="9" t="n">
        <v>36</v>
      </c>
      <c r="B40" s="10" t="s">
        <v>914</v>
      </c>
      <c r="C40" s="9" t="s">
        <v>161</v>
      </c>
      <c r="D40" s="9" t="s">
        <v>1986</v>
      </c>
      <c r="E40" s="10" t="s">
        <v>1684</v>
      </c>
      <c r="F40" s="10" t="s">
        <v>2006</v>
      </c>
      <c r="G40" s="10"/>
      <c r="H40" s="10" t="s">
        <v>917</v>
      </c>
      <c r="I40" s="10" t="s">
        <v>916</v>
      </c>
      <c r="J40" s="10" t="s">
        <v>2007</v>
      </c>
      <c r="K40" s="8" t="s">
        <v>52</v>
      </c>
      <c r="L40" s="10" t="s">
        <v>2008</v>
      </c>
      <c r="M40" s="10"/>
    </row>
    <row r="41" customFormat="false" ht="72" hidden="false" customHeight="true" outlineLevel="0" collapsed="false">
      <c r="A41" s="6" t="n">
        <v>37</v>
      </c>
      <c r="B41" s="7" t="s">
        <v>2009</v>
      </c>
      <c r="C41" s="6" t="s">
        <v>44</v>
      </c>
      <c r="D41" s="6" t="s">
        <v>1986</v>
      </c>
      <c r="E41" s="7" t="s">
        <v>1684</v>
      </c>
      <c r="F41" s="7" t="s">
        <v>2006</v>
      </c>
      <c r="G41" s="7"/>
      <c r="H41" s="7"/>
      <c r="I41" s="7" t="s">
        <v>2010</v>
      </c>
      <c r="J41" s="7" t="s">
        <v>2011</v>
      </c>
      <c r="K41" s="6" t="s">
        <v>67</v>
      </c>
      <c r="L41" s="7" t="s">
        <v>2012</v>
      </c>
      <c r="M41" s="7"/>
    </row>
    <row r="42" customFormat="false" ht="72" hidden="false" customHeight="true" outlineLevel="0" collapsed="false">
      <c r="A42" s="9" t="n">
        <v>38</v>
      </c>
      <c r="B42" s="10" t="s">
        <v>2013</v>
      </c>
      <c r="C42" s="9" t="s">
        <v>44</v>
      </c>
      <c r="D42" s="9" t="s">
        <v>1986</v>
      </c>
      <c r="E42" s="10" t="s">
        <v>1684</v>
      </c>
      <c r="F42" s="10" t="s">
        <v>2006</v>
      </c>
      <c r="G42" s="10"/>
      <c r="H42" s="10"/>
      <c r="I42" s="10" t="s">
        <v>2014</v>
      </c>
      <c r="J42" s="10" t="s">
        <v>2015</v>
      </c>
      <c r="K42" s="9" t="s">
        <v>67</v>
      </c>
      <c r="L42" s="10" t="s">
        <v>2016</v>
      </c>
      <c r="M42" s="10"/>
    </row>
    <row r="43" customFormat="false" ht="72" hidden="false" customHeight="true" outlineLevel="0" collapsed="false">
      <c r="A43" s="6" t="n">
        <v>39</v>
      </c>
      <c r="B43" s="7" t="s">
        <v>2017</v>
      </c>
      <c r="C43" s="6" t="s">
        <v>44</v>
      </c>
      <c r="D43" s="6" t="s">
        <v>1986</v>
      </c>
      <c r="E43" s="7" t="s">
        <v>1684</v>
      </c>
      <c r="F43" s="7" t="s">
        <v>2006</v>
      </c>
      <c r="G43" s="7"/>
      <c r="H43" s="7"/>
      <c r="I43" s="7" t="s">
        <v>2018</v>
      </c>
      <c r="J43" s="7" t="s">
        <v>2019</v>
      </c>
      <c r="K43" s="6" t="s">
        <v>67</v>
      </c>
      <c r="L43" s="7" t="s">
        <v>2020</v>
      </c>
      <c r="M43" s="7"/>
    </row>
    <row r="44" customFormat="false" ht="72" hidden="false" customHeight="true" outlineLevel="0" collapsed="false">
      <c r="A44" s="9" t="n">
        <v>40</v>
      </c>
      <c r="B44" s="10" t="s">
        <v>823</v>
      </c>
      <c r="C44" s="9" t="s">
        <v>161</v>
      </c>
      <c r="D44" s="9" t="s">
        <v>2021</v>
      </c>
      <c r="E44" s="10" t="s">
        <v>2022</v>
      </c>
      <c r="F44" s="10" t="s">
        <v>2023</v>
      </c>
      <c r="G44" s="10" t="s">
        <v>827</v>
      </c>
      <c r="H44" s="10" t="s">
        <v>826</v>
      </c>
      <c r="I44" s="10" t="s">
        <v>825</v>
      </c>
      <c r="J44" s="10" t="s">
        <v>2024</v>
      </c>
      <c r="K44" s="8" t="s">
        <v>52</v>
      </c>
      <c r="L44" s="10" t="s">
        <v>2025</v>
      </c>
      <c r="M44" s="10"/>
    </row>
    <row r="45" customFormat="false" ht="72" hidden="false" customHeight="true" outlineLevel="0" collapsed="false">
      <c r="A45" s="6" t="n">
        <v>41</v>
      </c>
      <c r="B45" s="7" t="s">
        <v>332</v>
      </c>
      <c r="C45" s="6" t="s">
        <v>308</v>
      </c>
      <c r="D45" s="6" t="s">
        <v>2021</v>
      </c>
      <c r="E45" s="7" t="s">
        <v>2026</v>
      </c>
      <c r="F45" s="7" t="s">
        <v>2027</v>
      </c>
      <c r="G45" s="7" t="s">
        <v>336</v>
      </c>
      <c r="H45" s="7" t="s">
        <v>335</v>
      </c>
      <c r="I45" s="7" t="s">
        <v>334</v>
      </c>
      <c r="J45" s="7" t="s">
        <v>2028</v>
      </c>
      <c r="K45" s="8" t="s">
        <v>52</v>
      </c>
      <c r="L45" s="7" t="s">
        <v>2029</v>
      </c>
      <c r="M45" s="7"/>
    </row>
    <row r="46" customFormat="false" ht="72" hidden="false" customHeight="true" outlineLevel="0" collapsed="false">
      <c r="A46" s="9" t="n">
        <v>42</v>
      </c>
      <c r="B46" s="10" t="s">
        <v>984</v>
      </c>
      <c r="C46" s="9" t="s">
        <v>44</v>
      </c>
      <c r="D46" s="9" t="s">
        <v>2021</v>
      </c>
      <c r="E46" s="10" t="s">
        <v>2030</v>
      </c>
      <c r="F46" s="10" t="s">
        <v>2031</v>
      </c>
      <c r="G46" s="10" t="s">
        <v>988</v>
      </c>
      <c r="H46" s="10" t="s">
        <v>987</v>
      </c>
      <c r="I46" s="10" t="s">
        <v>986</v>
      </c>
      <c r="J46" s="10" t="s">
        <v>2032</v>
      </c>
      <c r="K46" s="9" t="s">
        <v>67</v>
      </c>
      <c r="L46" s="10" t="s">
        <v>2033</v>
      </c>
      <c r="M46" s="10"/>
    </row>
    <row r="47" customFormat="false" ht="72" hidden="false" customHeight="true" outlineLevel="0" collapsed="false">
      <c r="A47" s="6" t="n">
        <v>43</v>
      </c>
      <c r="B47" s="7" t="s">
        <v>2034</v>
      </c>
      <c r="C47" s="6" t="s">
        <v>44</v>
      </c>
      <c r="D47" s="6" t="s">
        <v>2021</v>
      </c>
      <c r="E47" s="7" t="s">
        <v>1684</v>
      </c>
      <c r="F47" s="7" t="s">
        <v>2035</v>
      </c>
      <c r="G47" s="7"/>
      <c r="H47" s="7" t="s">
        <v>2036</v>
      </c>
      <c r="I47" s="7" t="s">
        <v>2037</v>
      </c>
      <c r="J47" s="7" t="s">
        <v>2038</v>
      </c>
      <c r="K47" s="8" t="s">
        <v>52</v>
      </c>
      <c r="L47" s="7" t="s">
        <v>2039</v>
      </c>
      <c r="M47" s="7"/>
    </row>
    <row r="48" customFormat="false" ht="72" hidden="false" customHeight="true" outlineLevel="0" collapsed="false">
      <c r="A48" s="9" t="n">
        <v>44</v>
      </c>
      <c r="B48" s="10" t="s">
        <v>2040</v>
      </c>
      <c r="C48" s="9" t="s">
        <v>44</v>
      </c>
      <c r="D48" s="9" t="s">
        <v>2021</v>
      </c>
      <c r="E48" s="10" t="s">
        <v>2041</v>
      </c>
      <c r="F48" s="10" t="s">
        <v>2042</v>
      </c>
      <c r="G48" s="10" t="s">
        <v>2043</v>
      </c>
      <c r="H48" s="10"/>
      <c r="I48" s="10" t="s">
        <v>2044</v>
      </c>
      <c r="J48" s="10" t="s">
        <v>2045</v>
      </c>
      <c r="K48" s="8" t="s">
        <v>52</v>
      </c>
      <c r="L48" s="10" t="s">
        <v>2046</v>
      </c>
      <c r="M48" s="10"/>
    </row>
    <row r="49" customFormat="false" ht="72" hidden="false" customHeight="true" outlineLevel="0" collapsed="false">
      <c r="A49" s="6" t="n">
        <v>45</v>
      </c>
      <c r="B49" s="7" t="s">
        <v>2047</v>
      </c>
      <c r="C49" s="6" t="s">
        <v>308</v>
      </c>
      <c r="D49" s="6" t="s">
        <v>2021</v>
      </c>
      <c r="E49" s="7" t="s">
        <v>1684</v>
      </c>
      <c r="F49" s="7" t="s">
        <v>2048</v>
      </c>
      <c r="G49" s="7" t="s">
        <v>2049</v>
      </c>
      <c r="H49" s="7"/>
      <c r="I49" s="7" t="s">
        <v>2050</v>
      </c>
      <c r="J49" s="7" t="s">
        <v>37</v>
      </c>
      <c r="K49" s="8" t="s">
        <v>52</v>
      </c>
      <c r="L49" s="7" t="s">
        <v>2051</v>
      </c>
      <c r="M49" s="7"/>
    </row>
    <row r="50" customFormat="false" ht="72" hidden="false" customHeight="true" outlineLevel="0" collapsed="false">
      <c r="A50" s="9" t="n">
        <v>46</v>
      </c>
      <c r="B50" s="10" t="s">
        <v>520</v>
      </c>
      <c r="C50" s="9" t="s">
        <v>44</v>
      </c>
      <c r="D50" s="9" t="s">
        <v>2052</v>
      </c>
      <c r="E50" s="10" t="s">
        <v>2053</v>
      </c>
      <c r="F50" s="10" t="s">
        <v>2054</v>
      </c>
      <c r="G50" s="10" t="s">
        <v>524</v>
      </c>
      <c r="H50" s="10" t="s">
        <v>523</v>
      </c>
      <c r="I50" s="10" t="s">
        <v>522</v>
      </c>
      <c r="J50" s="10" t="s">
        <v>2055</v>
      </c>
      <c r="K50" s="8" t="s">
        <v>52</v>
      </c>
      <c r="L50" s="10" t="s">
        <v>2056</v>
      </c>
      <c r="M50" s="10"/>
    </row>
    <row r="51" customFormat="false" ht="72" hidden="false" customHeight="true" outlineLevel="0" collapsed="false">
      <c r="A51" s="6" t="n">
        <v>47</v>
      </c>
      <c r="B51" s="7" t="s">
        <v>2057</v>
      </c>
      <c r="C51" s="6" t="s">
        <v>44</v>
      </c>
      <c r="D51" s="6" t="s">
        <v>2052</v>
      </c>
      <c r="E51" s="7" t="s">
        <v>2058</v>
      </c>
      <c r="F51" s="7" t="s">
        <v>2059</v>
      </c>
      <c r="G51" s="7"/>
      <c r="H51" s="7"/>
      <c r="I51" s="7" t="s">
        <v>2060</v>
      </c>
      <c r="J51" s="7"/>
      <c r="K51" s="6" t="s">
        <v>67</v>
      </c>
      <c r="L51" s="7" t="s">
        <v>2061</v>
      </c>
      <c r="M51" s="7"/>
    </row>
    <row r="52" customFormat="false" ht="72" hidden="false" customHeight="true" outlineLevel="0" collapsed="false">
      <c r="A52" s="9" t="n">
        <v>48</v>
      </c>
      <c r="B52" s="10" t="s">
        <v>226</v>
      </c>
      <c r="C52" s="9" t="s">
        <v>44</v>
      </c>
      <c r="D52" s="9" t="s">
        <v>2062</v>
      </c>
      <c r="E52" s="10" t="s">
        <v>2063</v>
      </c>
      <c r="F52" s="10" t="s">
        <v>2064</v>
      </c>
      <c r="G52" s="10" t="s">
        <v>230</v>
      </c>
      <c r="H52" s="10" t="s">
        <v>229</v>
      </c>
      <c r="I52" s="10" t="s">
        <v>228</v>
      </c>
      <c r="J52" s="10" t="s">
        <v>2065</v>
      </c>
      <c r="K52" s="8" t="s">
        <v>52</v>
      </c>
      <c r="L52" s="10" t="s">
        <v>2066</v>
      </c>
      <c r="M52" s="10"/>
    </row>
    <row r="53" customFormat="false" ht="72" hidden="false" customHeight="true" outlineLevel="0" collapsed="false">
      <c r="A53" s="6" t="n">
        <v>49</v>
      </c>
      <c r="B53" s="7" t="s">
        <v>2067</v>
      </c>
      <c r="C53" s="6" t="s">
        <v>44</v>
      </c>
      <c r="D53" s="6" t="s">
        <v>2062</v>
      </c>
      <c r="E53" s="7" t="s">
        <v>2063</v>
      </c>
      <c r="F53" s="7" t="s">
        <v>2068</v>
      </c>
      <c r="G53" s="7" t="s">
        <v>2069</v>
      </c>
      <c r="H53" s="7" t="s">
        <v>2070</v>
      </c>
      <c r="I53" s="7" t="s">
        <v>2071</v>
      </c>
      <c r="J53" s="7"/>
      <c r="K53" s="6" t="s">
        <v>67</v>
      </c>
      <c r="L53" s="7" t="s">
        <v>2072</v>
      </c>
      <c r="M53" s="7"/>
    </row>
    <row r="54" customFormat="false" ht="72" hidden="false" customHeight="true" outlineLevel="0" collapsed="false">
      <c r="A54" s="9" t="n">
        <v>50</v>
      </c>
      <c r="B54" s="10" t="s">
        <v>2073</v>
      </c>
      <c r="C54" s="9" t="s">
        <v>44</v>
      </c>
      <c r="D54" s="9" t="s">
        <v>2074</v>
      </c>
      <c r="E54" s="10" t="s">
        <v>2075</v>
      </c>
      <c r="F54" s="10" t="s">
        <v>2076</v>
      </c>
      <c r="G54" s="10" t="s">
        <v>2077</v>
      </c>
      <c r="H54" s="10"/>
      <c r="I54" s="10" t="s">
        <v>100</v>
      </c>
      <c r="J54" s="10" t="s">
        <v>2078</v>
      </c>
      <c r="K54" s="8" t="s">
        <v>52</v>
      </c>
      <c r="L54" s="10" t="s">
        <v>2079</v>
      </c>
      <c r="M54" s="10"/>
    </row>
    <row r="55" customFormat="false" ht="72" hidden="false" customHeight="true" outlineLevel="0" collapsed="false">
      <c r="A55" s="6" t="n">
        <v>51</v>
      </c>
      <c r="B55" s="7" t="s">
        <v>2080</v>
      </c>
      <c r="C55" s="6" t="s">
        <v>44</v>
      </c>
      <c r="D55" s="6" t="s">
        <v>2081</v>
      </c>
      <c r="E55" s="7" t="s">
        <v>1684</v>
      </c>
      <c r="F55" s="7" t="s">
        <v>2082</v>
      </c>
      <c r="G55" s="7"/>
      <c r="H55" s="7"/>
      <c r="I55" s="7" t="s">
        <v>2083</v>
      </c>
      <c r="J55" s="7"/>
      <c r="K55" s="6" t="s">
        <v>75</v>
      </c>
      <c r="L55" s="7" t="s">
        <v>2084</v>
      </c>
      <c r="M55" s="7"/>
    </row>
    <row r="56" customFormat="false" ht="72" hidden="false" customHeight="true" outlineLevel="0" collapsed="false">
      <c r="A56" s="9" t="n">
        <v>52</v>
      </c>
      <c r="B56" s="10" t="s">
        <v>320</v>
      </c>
      <c r="C56" s="9" t="s">
        <v>308</v>
      </c>
      <c r="D56" s="9" t="s">
        <v>256</v>
      </c>
      <c r="E56" s="10" t="s">
        <v>1684</v>
      </c>
      <c r="F56" s="10" t="s">
        <v>2085</v>
      </c>
      <c r="G56" s="10" t="s">
        <v>323</v>
      </c>
      <c r="H56" s="10" t="s">
        <v>322</v>
      </c>
      <c r="I56" s="10" t="s">
        <v>321</v>
      </c>
      <c r="J56" s="10" t="s">
        <v>2086</v>
      </c>
      <c r="K56" s="8" t="s">
        <v>52</v>
      </c>
      <c r="L56" s="10" t="s">
        <v>2087</v>
      </c>
      <c r="M56" s="10"/>
    </row>
    <row r="57" customFormat="false" ht="72" hidden="false" customHeight="true" outlineLevel="0" collapsed="false">
      <c r="A57" s="6" t="n">
        <v>53</v>
      </c>
      <c r="B57" s="7" t="s">
        <v>361</v>
      </c>
      <c r="C57" s="6" t="s">
        <v>308</v>
      </c>
      <c r="D57" s="6" t="s">
        <v>256</v>
      </c>
      <c r="E57" s="7" t="s">
        <v>1684</v>
      </c>
      <c r="F57" s="7" t="s">
        <v>2088</v>
      </c>
      <c r="G57" s="7"/>
      <c r="H57" s="7"/>
      <c r="I57" s="7" t="s">
        <v>362</v>
      </c>
      <c r="J57" s="7"/>
      <c r="K57" s="8" t="s">
        <v>52</v>
      </c>
      <c r="L57" s="7" t="s">
        <v>2089</v>
      </c>
      <c r="M57" s="7"/>
    </row>
    <row r="58" customFormat="false" ht="72" hidden="false" customHeight="true" outlineLevel="0" collapsed="false">
      <c r="A58" s="9" t="n">
        <v>54</v>
      </c>
      <c r="B58" s="10" t="s">
        <v>2090</v>
      </c>
      <c r="C58" s="9" t="s">
        <v>308</v>
      </c>
      <c r="D58" s="9" t="s">
        <v>2091</v>
      </c>
      <c r="E58" s="10" t="s">
        <v>1684</v>
      </c>
      <c r="F58" s="10" t="s">
        <v>2092</v>
      </c>
      <c r="G58" s="10" t="s">
        <v>554</v>
      </c>
      <c r="H58" s="10"/>
      <c r="I58" s="10" t="s">
        <v>553</v>
      </c>
      <c r="J58" s="10" t="s">
        <v>2093</v>
      </c>
      <c r="K58" s="8" t="s">
        <v>52</v>
      </c>
      <c r="L58" s="10" t="s">
        <v>2094</v>
      </c>
      <c r="M58" s="10"/>
    </row>
    <row r="59" customFormat="false" ht="72" hidden="false" customHeight="true" outlineLevel="0" collapsed="false">
      <c r="A59" s="6" t="n">
        <v>55</v>
      </c>
      <c r="B59" s="7" t="s">
        <v>2095</v>
      </c>
      <c r="C59" s="6" t="s">
        <v>308</v>
      </c>
      <c r="D59" s="6" t="s">
        <v>256</v>
      </c>
      <c r="E59" s="7" t="s">
        <v>1684</v>
      </c>
      <c r="F59" s="7" t="s">
        <v>2096</v>
      </c>
      <c r="G59" s="7" t="s">
        <v>2097</v>
      </c>
      <c r="H59" s="7"/>
      <c r="I59" s="7" t="s">
        <v>2098</v>
      </c>
      <c r="J59" s="7"/>
      <c r="K59" s="8" t="s">
        <v>52</v>
      </c>
      <c r="L59" s="7" t="s">
        <v>2099</v>
      </c>
      <c r="M59" s="7"/>
    </row>
    <row r="60" customFormat="false" ht="72" hidden="false" customHeight="true" outlineLevel="0" collapsed="false">
      <c r="A60" s="9" t="n">
        <v>56</v>
      </c>
      <c r="B60" s="10" t="s">
        <v>339</v>
      </c>
      <c r="C60" s="9" t="s">
        <v>308</v>
      </c>
      <c r="D60" s="9" t="s">
        <v>256</v>
      </c>
      <c r="E60" s="10" t="s">
        <v>1684</v>
      </c>
      <c r="F60" s="10" t="s">
        <v>2100</v>
      </c>
      <c r="G60" s="10"/>
      <c r="H60" s="10"/>
      <c r="I60" s="10" t="s">
        <v>2101</v>
      </c>
      <c r="J60" s="10" t="s">
        <v>2102</v>
      </c>
      <c r="K60" s="8" t="s">
        <v>52</v>
      </c>
      <c r="L60" s="10" t="s">
        <v>2103</v>
      </c>
      <c r="M60" s="10"/>
    </row>
    <row r="61" customFormat="false" ht="72" hidden="false" customHeight="true" outlineLevel="0" collapsed="false">
      <c r="A61" s="6" t="n">
        <v>57</v>
      </c>
      <c r="B61" s="7" t="s">
        <v>2104</v>
      </c>
      <c r="C61" s="6" t="s">
        <v>308</v>
      </c>
      <c r="D61" s="6" t="s">
        <v>256</v>
      </c>
      <c r="E61" s="7" t="s">
        <v>1684</v>
      </c>
      <c r="F61" s="7" t="s">
        <v>2105</v>
      </c>
      <c r="G61" s="7"/>
      <c r="H61" s="7"/>
      <c r="I61" s="7" t="s">
        <v>2106</v>
      </c>
      <c r="J61" s="7" t="s">
        <v>2107</v>
      </c>
      <c r="K61" s="8" t="s">
        <v>52</v>
      </c>
      <c r="L61" s="7" t="s">
        <v>2108</v>
      </c>
      <c r="M61" s="7"/>
    </row>
    <row r="62" customFormat="false" ht="72" hidden="false" customHeight="true" outlineLevel="0" collapsed="false">
      <c r="A62" s="9" t="n">
        <v>58</v>
      </c>
      <c r="B62" s="10" t="s">
        <v>2109</v>
      </c>
      <c r="C62" s="9" t="s">
        <v>308</v>
      </c>
      <c r="D62" s="9" t="s">
        <v>256</v>
      </c>
      <c r="E62" s="10" t="s">
        <v>1684</v>
      </c>
      <c r="F62" s="10" t="s">
        <v>2110</v>
      </c>
      <c r="G62" s="10"/>
      <c r="H62" s="10"/>
      <c r="I62" s="10" t="s">
        <v>2111</v>
      </c>
      <c r="J62" s="10" t="s">
        <v>2112</v>
      </c>
      <c r="K62" s="9" t="s">
        <v>67</v>
      </c>
      <c r="L62" s="10" t="s">
        <v>2113</v>
      </c>
      <c r="M62" s="10"/>
    </row>
    <row r="63" customFormat="false" ht="72" hidden="false" customHeight="true" outlineLevel="0" collapsed="false">
      <c r="A63" s="6" t="n">
        <v>59</v>
      </c>
      <c r="B63" s="7" t="s">
        <v>2114</v>
      </c>
      <c r="C63" s="6" t="s">
        <v>308</v>
      </c>
      <c r="D63" s="6" t="s">
        <v>256</v>
      </c>
      <c r="E63" s="7" t="s">
        <v>1684</v>
      </c>
      <c r="F63" s="7" t="s">
        <v>2115</v>
      </c>
      <c r="G63" s="7"/>
      <c r="H63" s="7"/>
      <c r="I63" s="7" t="s">
        <v>2116</v>
      </c>
      <c r="J63" s="7" t="s">
        <v>2117</v>
      </c>
      <c r="K63" s="6" t="s">
        <v>67</v>
      </c>
      <c r="L63" s="7" t="s">
        <v>2118</v>
      </c>
      <c r="M63" s="7"/>
    </row>
    <row r="64" customFormat="false" ht="72" hidden="false" customHeight="true" outlineLevel="0" collapsed="false">
      <c r="A64" s="9" t="n">
        <v>60</v>
      </c>
      <c r="B64" s="10" t="s">
        <v>1297</v>
      </c>
      <c r="C64" s="9" t="s">
        <v>308</v>
      </c>
      <c r="D64" s="9" t="s">
        <v>2119</v>
      </c>
      <c r="E64" s="10" t="s">
        <v>1684</v>
      </c>
      <c r="F64" s="10" t="s">
        <v>2120</v>
      </c>
      <c r="G64" s="10"/>
      <c r="H64" s="10"/>
      <c r="I64" s="10"/>
      <c r="J64" s="10" t="s">
        <v>2121</v>
      </c>
      <c r="K64" s="9" t="s">
        <v>67</v>
      </c>
      <c r="L64" s="10" t="s">
        <v>2122</v>
      </c>
      <c r="M64" s="10"/>
    </row>
    <row r="65" customFormat="false" ht="72" hidden="false" customHeight="true" outlineLevel="0" collapsed="false">
      <c r="A65" s="6" t="n">
        <v>61</v>
      </c>
      <c r="B65" s="7" t="s">
        <v>2123</v>
      </c>
      <c r="C65" s="6" t="s">
        <v>308</v>
      </c>
      <c r="D65" s="6" t="s">
        <v>256</v>
      </c>
      <c r="E65" s="7" t="s">
        <v>1684</v>
      </c>
      <c r="F65" s="7" t="s">
        <v>2124</v>
      </c>
      <c r="G65" s="7"/>
      <c r="H65" s="7"/>
      <c r="I65" s="7" t="s">
        <v>2125</v>
      </c>
      <c r="J65" s="7" t="s">
        <v>2126</v>
      </c>
      <c r="K65" s="6" t="s">
        <v>67</v>
      </c>
      <c r="L65" s="7" t="s">
        <v>2127</v>
      </c>
      <c r="M65" s="7"/>
    </row>
    <row r="66" customFormat="false" ht="72" hidden="false" customHeight="true" outlineLevel="0" collapsed="false">
      <c r="A66" s="9" t="n">
        <v>62</v>
      </c>
      <c r="B66" s="10" t="s">
        <v>2128</v>
      </c>
      <c r="C66" s="9" t="s">
        <v>308</v>
      </c>
      <c r="D66" s="9" t="s">
        <v>256</v>
      </c>
      <c r="E66" s="10" t="s">
        <v>1684</v>
      </c>
      <c r="F66" s="10" t="s">
        <v>2129</v>
      </c>
      <c r="G66" s="10"/>
      <c r="H66" s="10"/>
      <c r="I66" s="10" t="s">
        <v>2130</v>
      </c>
      <c r="J66" s="10" t="s">
        <v>2131</v>
      </c>
      <c r="K66" s="9" t="s">
        <v>75</v>
      </c>
      <c r="L66" s="10" t="s">
        <v>2132</v>
      </c>
      <c r="M66" s="10"/>
    </row>
    <row r="67" customFormat="false" ht="72" hidden="false" customHeight="true" outlineLevel="0" collapsed="false">
      <c r="A67" s="6" t="n">
        <v>63</v>
      </c>
      <c r="B67" s="7" t="s">
        <v>2133</v>
      </c>
      <c r="C67" s="6" t="s">
        <v>308</v>
      </c>
      <c r="D67" s="6" t="s">
        <v>256</v>
      </c>
      <c r="E67" s="7" t="s">
        <v>1684</v>
      </c>
      <c r="F67" s="7" t="s">
        <v>2134</v>
      </c>
      <c r="G67" s="7"/>
      <c r="H67" s="7"/>
      <c r="I67" s="7" t="s">
        <v>2135</v>
      </c>
      <c r="J67" s="7" t="s">
        <v>2136</v>
      </c>
      <c r="K67" s="6" t="s">
        <v>75</v>
      </c>
      <c r="L67" s="7" t="s">
        <v>2137</v>
      </c>
      <c r="M67" s="7"/>
    </row>
    <row r="68" customFormat="false" ht="72" hidden="false" customHeight="true" outlineLevel="0" collapsed="false">
      <c r="A68" s="9" t="n">
        <v>64</v>
      </c>
      <c r="B68" s="10" t="s">
        <v>2138</v>
      </c>
      <c r="C68" s="9" t="s">
        <v>161</v>
      </c>
      <c r="D68" s="9" t="s">
        <v>256</v>
      </c>
      <c r="E68" s="10" t="s">
        <v>1684</v>
      </c>
      <c r="F68" s="10" t="s">
        <v>2139</v>
      </c>
      <c r="G68" s="10"/>
      <c r="H68" s="10"/>
      <c r="I68" s="10" t="s">
        <v>2140</v>
      </c>
      <c r="J68" s="10"/>
      <c r="K68" s="8" t="s">
        <v>52</v>
      </c>
      <c r="L68" s="10" t="s">
        <v>2141</v>
      </c>
      <c r="M68" s="10"/>
    </row>
    <row r="69" customFormat="false" ht="72" hidden="false" customHeight="true" outlineLevel="0" collapsed="false">
      <c r="A69" s="6" t="n">
        <v>65</v>
      </c>
      <c r="B69" s="7" t="s">
        <v>2142</v>
      </c>
      <c r="C69" s="6" t="s">
        <v>161</v>
      </c>
      <c r="D69" s="6" t="s">
        <v>256</v>
      </c>
      <c r="E69" s="7" t="s">
        <v>1684</v>
      </c>
      <c r="F69" s="7" t="s">
        <v>2143</v>
      </c>
      <c r="G69" s="7"/>
      <c r="H69" s="7"/>
      <c r="I69" s="7" t="s">
        <v>2144</v>
      </c>
      <c r="J69" s="7"/>
      <c r="K69" s="8" t="s">
        <v>52</v>
      </c>
      <c r="L69" s="7" t="s">
        <v>2145</v>
      </c>
      <c r="M69" s="7"/>
    </row>
    <row r="70" customFormat="false" ht="72" hidden="false" customHeight="true" outlineLevel="0" collapsed="false">
      <c r="A70" s="9" t="n">
        <v>66</v>
      </c>
      <c r="B70" s="10" t="s">
        <v>2146</v>
      </c>
      <c r="C70" s="9" t="s">
        <v>161</v>
      </c>
      <c r="D70" s="9" t="s">
        <v>256</v>
      </c>
      <c r="E70" s="10" t="s">
        <v>1684</v>
      </c>
      <c r="F70" s="10" t="s">
        <v>2147</v>
      </c>
      <c r="G70" s="10"/>
      <c r="H70" s="10"/>
      <c r="I70" s="10" t="s">
        <v>2148</v>
      </c>
      <c r="J70" s="10" t="s">
        <v>2149</v>
      </c>
      <c r="K70" s="8" t="s">
        <v>52</v>
      </c>
      <c r="L70" s="10" t="s">
        <v>2150</v>
      </c>
      <c r="M70" s="10"/>
    </row>
    <row r="71" customFormat="false" ht="72" hidden="false" customHeight="true" outlineLevel="0" collapsed="false">
      <c r="A71" s="6" t="n">
        <v>67</v>
      </c>
      <c r="B71" s="7" t="s">
        <v>2151</v>
      </c>
      <c r="C71" s="6" t="s">
        <v>44</v>
      </c>
      <c r="D71" s="6" t="s">
        <v>256</v>
      </c>
      <c r="E71" s="7" t="s">
        <v>1684</v>
      </c>
      <c r="F71" s="7" t="s">
        <v>2147</v>
      </c>
      <c r="G71" s="7"/>
      <c r="H71" s="7" t="s">
        <v>2152</v>
      </c>
      <c r="I71" s="7" t="s">
        <v>2153</v>
      </c>
      <c r="J71" s="7" t="s">
        <v>2154</v>
      </c>
      <c r="K71" s="6" t="s">
        <v>67</v>
      </c>
      <c r="L71" s="7" t="s">
        <v>2155</v>
      </c>
      <c r="M71" s="7"/>
    </row>
    <row r="72" customFormat="false" ht="72" hidden="false" customHeight="true" outlineLevel="0" collapsed="false">
      <c r="A72" s="9" t="n">
        <v>68</v>
      </c>
      <c r="B72" s="10" t="s">
        <v>2156</v>
      </c>
      <c r="C72" s="9" t="s">
        <v>44</v>
      </c>
      <c r="D72" s="9" t="s">
        <v>256</v>
      </c>
      <c r="E72" s="10" t="s">
        <v>1684</v>
      </c>
      <c r="F72" s="10" t="s">
        <v>2147</v>
      </c>
      <c r="G72" s="10"/>
      <c r="H72" s="10"/>
      <c r="I72" s="10" t="s">
        <v>2157</v>
      </c>
      <c r="J72" s="10" t="s">
        <v>2158</v>
      </c>
      <c r="K72" s="9" t="s">
        <v>67</v>
      </c>
      <c r="L72" s="10" t="s">
        <v>2159</v>
      </c>
      <c r="M72" s="10"/>
    </row>
    <row r="73" customFormat="false" ht="72" hidden="false" customHeight="true" outlineLevel="0" collapsed="false">
      <c r="A73" s="6" t="n">
        <v>69</v>
      </c>
      <c r="B73" s="7" t="s">
        <v>2160</v>
      </c>
      <c r="C73" s="6" t="s">
        <v>44</v>
      </c>
      <c r="D73" s="6" t="s">
        <v>256</v>
      </c>
      <c r="E73" s="7" t="s">
        <v>1684</v>
      </c>
      <c r="F73" s="7" t="s">
        <v>2161</v>
      </c>
      <c r="G73" s="7"/>
      <c r="H73" s="7"/>
      <c r="I73" s="7" t="s">
        <v>2162</v>
      </c>
      <c r="J73" s="7" t="s">
        <v>2163</v>
      </c>
      <c r="K73" s="6" t="s">
        <v>67</v>
      </c>
      <c r="L73" s="7" t="s">
        <v>2164</v>
      </c>
      <c r="M73" s="7"/>
    </row>
    <row r="74" customFormat="false" ht="72" hidden="false" customHeight="true" outlineLevel="0" collapsed="false">
      <c r="A74" s="9" t="n">
        <v>70</v>
      </c>
      <c r="B74" s="10" t="s">
        <v>2165</v>
      </c>
      <c r="C74" s="9" t="s">
        <v>44</v>
      </c>
      <c r="D74" s="9" t="s">
        <v>256</v>
      </c>
      <c r="E74" s="10" t="s">
        <v>1684</v>
      </c>
      <c r="F74" s="10" t="s">
        <v>2147</v>
      </c>
      <c r="G74" s="10"/>
      <c r="H74" s="10"/>
      <c r="I74" s="10" t="s">
        <v>2166</v>
      </c>
      <c r="J74" s="10" t="s">
        <v>2167</v>
      </c>
      <c r="K74" s="9" t="s">
        <v>67</v>
      </c>
      <c r="L74" s="10" t="s">
        <v>2168</v>
      </c>
      <c r="M74" s="10"/>
    </row>
    <row r="75" customFormat="false" ht="72" hidden="false" customHeight="true" outlineLevel="0" collapsed="false">
      <c r="A75" s="6" t="n">
        <v>71</v>
      </c>
      <c r="B75" s="7" t="s">
        <v>2169</v>
      </c>
      <c r="C75" s="6" t="s">
        <v>44</v>
      </c>
      <c r="D75" s="6" t="s">
        <v>256</v>
      </c>
      <c r="E75" s="7" t="s">
        <v>1684</v>
      </c>
      <c r="F75" s="7" t="s">
        <v>2147</v>
      </c>
      <c r="G75" s="7"/>
      <c r="H75" s="7"/>
      <c r="I75" s="7" t="s">
        <v>2170</v>
      </c>
      <c r="J75" s="7" t="s">
        <v>2171</v>
      </c>
      <c r="K75" s="6" t="s">
        <v>67</v>
      </c>
      <c r="L75" s="7" t="s">
        <v>2172</v>
      </c>
      <c r="M75" s="7"/>
    </row>
    <row r="76" customFormat="false" ht="72" hidden="false" customHeight="true" outlineLevel="0" collapsed="false">
      <c r="A76" s="9" t="n">
        <v>72</v>
      </c>
      <c r="B76" s="10" t="s">
        <v>2173</v>
      </c>
      <c r="C76" s="9" t="s">
        <v>44</v>
      </c>
      <c r="D76" s="9" t="s">
        <v>256</v>
      </c>
      <c r="E76" s="10" t="s">
        <v>1684</v>
      </c>
      <c r="F76" s="10" t="s">
        <v>2147</v>
      </c>
      <c r="G76" s="10"/>
      <c r="H76" s="10" t="s">
        <v>2174</v>
      </c>
      <c r="I76" s="10" t="s">
        <v>2175</v>
      </c>
      <c r="J76" s="10" t="s">
        <v>2176</v>
      </c>
      <c r="K76" s="9" t="s">
        <v>67</v>
      </c>
      <c r="L76" s="10" t="s">
        <v>2177</v>
      </c>
      <c r="M76" s="10"/>
    </row>
    <row r="77" customFormat="false" ht="72" hidden="false" customHeight="true" outlineLevel="0" collapsed="false">
      <c r="A77" s="6" t="n">
        <v>73</v>
      </c>
      <c r="B77" s="7" t="s">
        <v>2178</v>
      </c>
      <c r="C77" s="6" t="s">
        <v>44</v>
      </c>
      <c r="D77" s="6" t="s">
        <v>256</v>
      </c>
      <c r="E77" s="7" t="s">
        <v>1684</v>
      </c>
      <c r="F77" s="7" t="s">
        <v>2147</v>
      </c>
      <c r="G77" s="7"/>
      <c r="H77" s="7"/>
      <c r="I77" s="7" t="s">
        <v>2179</v>
      </c>
      <c r="J77" s="7" t="s">
        <v>2180</v>
      </c>
      <c r="K77" s="6" t="s">
        <v>67</v>
      </c>
      <c r="L77" s="7" t="s">
        <v>2181</v>
      </c>
      <c r="M77" s="7"/>
    </row>
    <row r="78" customFormat="false" ht="72" hidden="false" customHeight="true" outlineLevel="0" collapsed="false">
      <c r="A78" s="9" t="n">
        <v>74</v>
      </c>
      <c r="B78" s="10" t="s">
        <v>2182</v>
      </c>
      <c r="C78" s="9" t="s">
        <v>44</v>
      </c>
      <c r="D78" s="9" t="s">
        <v>256</v>
      </c>
      <c r="E78" s="10" t="s">
        <v>1684</v>
      </c>
      <c r="F78" s="10" t="s">
        <v>2147</v>
      </c>
      <c r="G78" s="10"/>
      <c r="H78" s="10"/>
      <c r="I78" s="10" t="s">
        <v>2183</v>
      </c>
      <c r="J78" s="10" t="s">
        <v>2184</v>
      </c>
      <c r="K78" s="9" t="s">
        <v>67</v>
      </c>
      <c r="L78" s="10" t="s">
        <v>2185</v>
      </c>
      <c r="M78" s="10"/>
    </row>
    <row r="79" customFormat="false" ht="72" hidden="false" customHeight="true" outlineLevel="0" collapsed="false">
      <c r="A79" s="6" t="n">
        <v>75</v>
      </c>
      <c r="B79" s="7" t="s">
        <v>2186</v>
      </c>
      <c r="C79" s="6" t="s">
        <v>44</v>
      </c>
      <c r="D79" s="6" t="s">
        <v>256</v>
      </c>
      <c r="E79" s="7" t="s">
        <v>1684</v>
      </c>
      <c r="F79" s="7" t="s">
        <v>2147</v>
      </c>
      <c r="G79" s="7"/>
      <c r="H79" s="7"/>
      <c r="I79" s="7" t="s">
        <v>2187</v>
      </c>
      <c r="J79" s="7"/>
      <c r="K79" s="6" t="s">
        <v>67</v>
      </c>
      <c r="L79" s="7" t="s">
        <v>2188</v>
      </c>
      <c r="M79" s="7"/>
    </row>
    <row r="80" customFormat="false" ht="72" hidden="false" customHeight="true" outlineLevel="0" collapsed="false">
      <c r="A80" s="9" t="n">
        <v>76</v>
      </c>
      <c r="B80" s="10" t="s">
        <v>2189</v>
      </c>
      <c r="C80" s="9" t="s">
        <v>44</v>
      </c>
      <c r="D80" s="9" t="s">
        <v>256</v>
      </c>
      <c r="E80" s="10" t="s">
        <v>1684</v>
      </c>
      <c r="F80" s="10" t="s">
        <v>2147</v>
      </c>
      <c r="G80" s="10"/>
      <c r="H80" s="10"/>
      <c r="I80" s="10" t="s">
        <v>2190</v>
      </c>
      <c r="J80" s="10"/>
      <c r="K80" s="9" t="s">
        <v>67</v>
      </c>
      <c r="L80" s="10" t="s">
        <v>2191</v>
      </c>
      <c r="M80" s="10"/>
    </row>
    <row r="81" customFormat="false" ht="72" hidden="false" customHeight="true" outlineLevel="0" collapsed="false">
      <c r="A81" s="6" t="n">
        <v>77</v>
      </c>
      <c r="B81" s="7" t="s">
        <v>2192</v>
      </c>
      <c r="C81" s="6" t="s">
        <v>44</v>
      </c>
      <c r="D81" s="6" t="s">
        <v>256</v>
      </c>
      <c r="E81" s="7" t="s">
        <v>1684</v>
      </c>
      <c r="F81" s="7" t="s">
        <v>2193</v>
      </c>
      <c r="G81" s="7"/>
      <c r="H81" s="7"/>
      <c r="I81" s="7" t="s">
        <v>2194</v>
      </c>
      <c r="J81" s="7" t="s">
        <v>2195</v>
      </c>
      <c r="K81" s="6" t="s">
        <v>75</v>
      </c>
      <c r="L81" s="7" t="s">
        <v>2196</v>
      </c>
      <c r="M81" s="7"/>
    </row>
    <row r="82" customFormat="false" ht="72" hidden="false" customHeight="true" outlineLevel="0" collapsed="false">
      <c r="A82" s="9" t="n">
        <v>78</v>
      </c>
      <c r="B82" s="10" t="s">
        <v>2197</v>
      </c>
      <c r="C82" s="9" t="s">
        <v>44</v>
      </c>
      <c r="D82" s="9" t="s">
        <v>256</v>
      </c>
      <c r="E82" s="10" t="s">
        <v>1684</v>
      </c>
      <c r="F82" s="10" t="s">
        <v>2147</v>
      </c>
      <c r="G82" s="10"/>
      <c r="H82" s="10"/>
      <c r="I82" s="10" t="s">
        <v>2198</v>
      </c>
      <c r="J82" s="10" t="s">
        <v>2199</v>
      </c>
      <c r="K82" s="9" t="s">
        <v>75</v>
      </c>
      <c r="L82" s="10" t="s">
        <v>2200</v>
      </c>
      <c r="M82" s="10"/>
    </row>
    <row r="83" customFormat="false" ht="72" hidden="false" customHeight="true" outlineLevel="0" collapsed="false">
      <c r="A83" s="6" t="n">
        <v>79</v>
      </c>
      <c r="B83" s="7" t="s">
        <v>2201</v>
      </c>
      <c r="C83" s="6" t="s">
        <v>44</v>
      </c>
      <c r="D83" s="6" t="s">
        <v>256</v>
      </c>
      <c r="E83" s="7" t="s">
        <v>1684</v>
      </c>
      <c r="F83" s="7" t="s">
        <v>2147</v>
      </c>
      <c r="G83" s="7"/>
      <c r="H83" s="7"/>
      <c r="I83" s="7" t="s">
        <v>2202</v>
      </c>
      <c r="J83" s="7" t="s">
        <v>2203</v>
      </c>
      <c r="K83" s="6" t="s">
        <v>75</v>
      </c>
      <c r="L83" s="7" t="s">
        <v>2204</v>
      </c>
      <c r="M83" s="7"/>
    </row>
    <row r="84" customFormat="false" ht="72" hidden="false" customHeight="true" outlineLevel="0" collapsed="false">
      <c r="A84" s="9" t="n">
        <v>80</v>
      </c>
      <c r="B84" s="10" t="s">
        <v>2205</v>
      </c>
      <c r="C84" s="9" t="s">
        <v>44</v>
      </c>
      <c r="D84" s="9" t="s">
        <v>256</v>
      </c>
      <c r="E84" s="10" t="s">
        <v>1684</v>
      </c>
      <c r="F84" s="10" t="s">
        <v>2147</v>
      </c>
      <c r="G84" s="10"/>
      <c r="H84" s="10"/>
      <c r="I84" s="10" t="s">
        <v>2206</v>
      </c>
      <c r="J84" s="10" t="s">
        <v>2207</v>
      </c>
      <c r="K84" s="9" t="s">
        <v>75</v>
      </c>
      <c r="L84" s="10" t="s">
        <v>2208</v>
      </c>
      <c r="M84" s="10"/>
    </row>
    <row r="85" customFormat="false" ht="72" hidden="false" customHeight="true" outlineLevel="0" collapsed="false">
      <c r="A85" s="6" t="n">
        <v>81</v>
      </c>
      <c r="B85" s="7" t="s">
        <v>2209</v>
      </c>
      <c r="C85" s="6" t="s">
        <v>44</v>
      </c>
      <c r="D85" s="6" t="s">
        <v>256</v>
      </c>
      <c r="E85" s="7" t="s">
        <v>1684</v>
      </c>
      <c r="F85" s="7" t="s">
        <v>2147</v>
      </c>
      <c r="G85" s="7"/>
      <c r="H85" s="7"/>
      <c r="I85" s="7" t="s">
        <v>2210</v>
      </c>
      <c r="J85" s="7" t="s">
        <v>2211</v>
      </c>
      <c r="K85" s="6" t="s">
        <v>75</v>
      </c>
      <c r="L85" s="7" t="s">
        <v>2212</v>
      </c>
      <c r="M85" s="7"/>
    </row>
    <row r="86" customFormat="false" ht="72" hidden="false" customHeight="true" outlineLevel="0" collapsed="false">
      <c r="A86" s="9" t="n">
        <v>82</v>
      </c>
      <c r="B86" s="10" t="s">
        <v>2213</v>
      </c>
      <c r="C86" s="9" t="s">
        <v>44</v>
      </c>
      <c r="D86" s="9" t="s">
        <v>256</v>
      </c>
      <c r="E86" s="10" t="s">
        <v>1684</v>
      </c>
      <c r="F86" s="10" t="s">
        <v>2147</v>
      </c>
      <c r="G86" s="10"/>
      <c r="H86" s="10"/>
      <c r="I86" s="10" t="s">
        <v>2214</v>
      </c>
      <c r="J86" s="10" t="s">
        <v>2215</v>
      </c>
      <c r="K86" s="9" t="s">
        <v>75</v>
      </c>
      <c r="L86" s="10" t="s">
        <v>2216</v>
      </c>
      <c r="M86" s="10"/>
    </row>
    <row r="87" customFormat="false" ht="72" hidden="false" customHeight="true" outlineLevel="0" collapsed="false">
      <c r="A87" s="6" t="n">
        <v>83</v>
      </c>
      <c r="B87" s="7" t="s">
        <v>2217</v>
      </c>
      <c r="C87" s="6" t="s">
        <v>44</v>
      </c>
      <c r="D87" s="6" t="s">
        <v>256</v>
      </c>
      <c r="E87" s="7" t="s">
        <v>1684</v>
      </c>
      <c r="F87" s="7" t="s">
        <v>2147</v>
      </c>
      <c r="G87" s="7"/>
      <c r="H87" s="7"/>
      <c r="I87" s="7" t="s">
        <v>2218</v>
      </c>
      <c r="J87" s="7" t="s">
        <v>2219</v>
      </c>
      <c r="K87" s="6" t="s">
        <v>75</v>
      </c>
      <c r="L87" s="7" t="s">
        <v>2220</v>
      </c>
      <c r="M87" s="7"/>
    </row>
    <row r="88" customFormat="false" ht="72" hidden="false" customHeight="true" outlineLevel="0" collapsed="false">
      <c r="A88" s="9" t="n">
        <v>84</v>
      </c>
      <c r="B88" s="10" t="s">
        <v>2221</v>
      </c>
      <c r="C88" s="9" t="s">
        <v>44</v>
      </c>
      <c r="D88" s="9" t="s">
        <v>256</v>
      </c>
      <c r="E88" s="10" t="s">
        <v>2222</v>
      </c>
      <c r="F88" s="10" t="s">
        <v>2223</v>
      </c>
      <c r="G88" s="10" t="s">
        <v>2224</v>
      </c>
      <c r="H88" s="10"/>
      <c r="I88" s="10" t="s">
        <v>2225</v>
      </c>
      <c r="J88" s="10"/>
      <c r="K88" s="9" t="s">
        <v>75</v>
      </c>
      <c r="L88" s="10" t="s">
        <v>2226</v>
      </c>
      <c r="M88" s="10"/>
    </row>
    <row r="89" customFormat="false" ht="72" hidden="false" customHeight="true" outlineLevel="0" collapsed="false">
      <c r="A89" s="6" t="n">
        <v>85</v>
      </c>
      <c r="B89" s="7" t="s">
        <v>2227</v>
      </c>
      <c r="C89" s="6" t="s">
        <v>44</v>
      </c>
      <c r="D89" s="6" t="s">
        <v>256</v>
      </c>
      <c r="E89" s="7" t="s">
        <v>1684</v>
      </c>
      <c r="F89" s="7" t="s">
        <v>2147</v>
      </c>
      <c r="G89" s="7"/>
      <c r="H89" s="7"/>
      <c r="I89" s="7" t="s">
        <v>2228</v>
      </c>
      <c r="J89" s="7" t="s">
        <v>2229</v>
      </c>
      <c r="K89" s="6" t="s">
        <v>75</v>
      </c>
      <c r="L89" s="7" t="s">
        <v>2230</v>
      </c>
      <c r="M89" s="7"/>
    </row>
    <row r="90" customFormat="false" ht="72" hidden="false" customHeight="true" outlineLevel="0" collapsed="false">
      <c r="A90" s="9" t="n">
        <v>86</v>
      </c>
      <c r="B90" s="10" t="s">
        <v>420</v>
      </c>
      <c r="C90" s="9" t="s">
        <v>44</v>
      </c>
      <c r="D90" s="9" t="s">
        <v>256</v>
      </c>
      <c r="E90" s="10" t="s">
        <v>1684</v>
      </c>
      <c r="F90" s="10" t="s">
        <v>2147</v>
      </c>
      <c r="G90" s="10"/>
      <c r="H90" s="10"/>
      <c r="I90" s="10" t="s">
        <v>422</v>
      </c>
      <c r="J90" s="10"/>
      <c r="K90" s="9" t="s">
        <v>75</v>
      </c>
      <c r="L90" s="10" t="s">
        <v>2231</v>
      </c>
      <c r="M90" s="10"/>
    </row>
    <row r="91" customFormat="false" ht="72" hidden="false" customHeight="true" outlineLevel="0" collapsed="false">
      <c r="A91" s="6" t="n">
        <v>87</v>
      </c>
      <c r="B91" s="7" t="s">
        <v>2232</v>
      </c>
      <c r="C91" s="6" t="s">
        <v>44</v>
      </c>
      <c r="D91" s="6" t="s">
        <v>256</v>
      </c>
      <c r="E91" s="7" t="s">
        <v>1684</v>
      </c>
      <c r="F91" s="7" t="s">
        <v>2147</v>
      </c>
      <c r="G91" s="7"/>
      <c r="H91" s="7"/>
      <c r="I91" s="7" t="s">
        <v>2233</v>
      </c>
      <c r="J91" s="7"/>
      <c r="K91" s="6" t="s">
        <v>75</v>
      </c>
      <c r="L91" s="7" t="s">
        <v>2234</v>
      </c>
      <c r="M91" s="7"/>
    </row>
    <row r="92" customFormat="false" ht="72" hidden="false" customHeight="true" outlineLevel="0" collapsed="false">
      <c r="A92" s="9" t="n">
        <v>88</v>
      </c>
      <c r="B92" s="10" t="s">
        <v>2235</v>
      </c>
      <c r="C92" s="9" t="s">
        <v>44</v>
      </c>
      <c r="D92" s="9" t="s">
        <v>256</v>
      </c>
      <c r="E92" s="10" t="s">
        <v>1684</v>
      </c>
      <c r="F92" s="10" t="s">
        <v>2147</v>
      </c>
      <c r="G92" s="10"/>
      <c r="H92" s="10"/>
      <c r="I92" s="10" t="s">
        <v>2236</v>
      </c>
      <c r="J92" s="10" t="s">
        <v>2237</v>
      </c>
      <c r="K92" s="9" t="s">
        <v>75</v>
      </c>
      <c r="L92" s="10" t="s">
        <v>2238</v>
      </c>
      <c r="M92" s="10"/>
    </row>
    <row r="93" customFormat="false" ht="72" hidden="false" customHeight="true" outlineLevel="0" collapsed="false">
      <c r="A93" s="6" t="n">
        <v>89</v>
      </c>
      <c r="B93" s="7" t="s">
        <v>2239</v>
      </c>
      <c r="C93" s="6" t="s">
        <v>44</v>
      </c>
      <c r="D93" s="6" t="s">
        <v>256</v>
      </c>
      <c r="E93" s="7" t="s">
        <v>1684</v>
      </c>
      <c r="F93" s="7" t="s">
        <v>2240</v>
      </c>
      <c r="G93" s="7"/>
      <c r="H93" s="7"/>
      <c r="I93" s="7" t="s">
        <v>2241</v>
      </c>
      <c r="J93" s="7" t="s">
        <v>2242</v>
      </c>
      <c r="K93" s="6" t="s">
        <v>75</v>
      </c>
      <c r="L93" s="7" t="s">
        <v>2243</v>
      </c>
      <c r="M93" s="7"/>
    </row>
    <row r="94" customFormat="false" ht="72" hidden="false" customHeight="true" outlineLevel="0" collapsed="false">
      <c r="A94" s="9" t="n">
        <v>90</v>
      </c>
      <c r="B94" s="10" t="s">
        <v>2244</v>
      </c>
      <c r="C94" s="9" t="s">
        <v>44</v>
      </c>
      <c r="D94" s="9" t="s">
        <v>256</v>
      </c>
      <c r="E94" s="10" t="s">
        <v>1684</v>
      </c>
      <c r="F94" s="10" t="s">
        <v>2147</v>
      </c>
      <c r="G94" s="10"/>
      <c r="H94" s="10"/>
      <c r="I94" s="10" t="s">
        <v>2245</v>
      </c>
      <c r="J94" s="10"/>
      <c r="K94" s="9" t="s">
        <v>75</v>
      </c>
      <c r="L94" s="10" t="s">
        <v>2246</v>
      </c>
      <c r="M94" s="10"/>
    </row>
    <row r="95" customFormat="false" ht="72" hidden="false" customHeight="true" outlineLevel="0" collapsed="false">
      <c r="A95" s="6" t="n">
        <v>91</v>
      </c>
      <c r="B95" s="7" t="s">
        <v>2247</v>
      </c>
      <c r="C95" s="6" t="s">
        <v>44</v>
      </c>
      <c r="D95" s="6" t="s">
        <v>256</v>
      </c>
      <c r="E95" s="7" t="s">
        <v>1684</v>
      </c>
      <c r="F95" s="7" t="s">
        <v>2147</v>
      </c>
      <c r="G95" s="7"/>
      <c r="H95" s="7"/>
      <c r="I95" s="7" t="s">
        <v>2248</v>
      </c>
      <c r="J95" s="7"/>
      <c r="K95" s="6" t="s">
        <v>75</v>
      </c>
      <c r="L95" s="7" t="s">
        <v>2249</v>
      </c>
      <c r="M95" s="7"/>
    </row>
    <row r="96" customFormat="false" ht="72" hidden="false" customHeight="true" outlineLevel="0" collapsed="false">
      <c r="A96" s="9" t="n">
        <v>92</v>
      </c>
      <c r="B96" s="10" t="s">
        <v>2250</v>
      </c>
      <c r="C96" s="9" t="s">
        <v>44</v>
      </c>
      <c r="D96" s="9" t="s">
        <v>256</v>
      </c>
      <c r="E96" s="10" t="s">
        <v>1684</v>
      </c>
      <c r="F96" s="10" t="s">
        <v>2147</v>
      </c>
      <c r="G96" s="10"/>
      <c r="H96" s="10"/>
      <c r="I96" s="10" t="s">
        <v>2251</v>
      </c>
      <c r="J96" s="10"/>
      <c r="K96" s="9" t="s">
        <v>75</v>
      </c>
      <c r="L96" s="10" t="s">
        <v>2252</v>
      </c>
      <c r="M96" s="10"/>
    </row>
    <row r="97" customFormat="false" ht="72" hidden="false" customHeight="true" outlineLevel="0" collapsed="false">
      <c r="A97" s="6" t="n">
        <v>93</v>
      </c>
      <c r="B97" s="7" t="s">
        <v>2253</v>
      </c>
      <c r="C97" s="6" t="s">
        <v>44</v>
      </c>
      <c r="D97" s="6" t="s">
        <v>256</v>
      </c>
      <c r="E97" s="7" t="s">
        <v>1684</v>
      </c>
      <c r="F97" s="7" t="s">
        <v>2147</v>
      </c>
      <c r="G97" s="7"/>
      <c r="H97" s="7"/>
      <c r="I97" s="7" t="s">
        <v>2254</v>
      </c>
      <c r="J97" s="7"/>
      <c r="K97" s="6" t="s">
        <v>75</v>
      </c>
      <c r="L97" s="7" t="s">
        <v>2255</v>
      </c>
      <c r="M97" s="7"/>
    </row>
    <row r="98" customFormat="false" ht="72" hidden="false" customHeight="true" outlineLevel="0" collapsed="false">
      <c r="A98" s="9" t="n">
        <v>94</v>
      </c>
      <c r="B98" s="10" t="s">
        <v>2256</v>
      </c>
      <c r="C98" s="9" t="s">
        <v>44</v>
      </c>
      <c r="D98" s="9" t="s">
        <v>256</v>
      </c>
      <c r="E98" s="10" t="s">
        <v>1684</v>
      </c>
      <c r="F98" s="10" t="s">
        <v>2147</v>
      </c>
      <c r="G98" s="10"/>
      <c r="H98" s="10"/>
      <c r="I98" s="10" t="s">
        <v>2257</v>
      </c>
      <c r="J98" s="10"/>
      <c r="K98" s="9" t="s">
        <v>75</v>
      </c>
      <c r="L98" s="10" t="s">
        <v>2258</v>
      </c>
      <c r="M98" s="10"/>
    </row>
    <row r="99" customFormat="false" ht="72" hidden="false" customHeight="true" outlineLevel="0" collapsed="false">
      <c r="A99" s="6" t="n">
        <v>95</v>
      </c>
      <c r="B99" s="7" t="s">
        <v>695</v>
      </c>
      <c r="C99" s="6" t="s">
        <v>44</v>
      </c>
      <c r="D99" s="6" t="s">
        <v>256</v>
      </c>
      <c r="E99" s="7" t="s">
        <v>1684</v>
      </c>
      <c r="F99" s="7" t="s">
        <v>2147</v>
      </c>
      <c r="G99" s="7"/>
      <c r="H99" s="7"/>
      <c r="I99" s="7" t="s">
        <v>2259</v>
      </c>
      <c r="J99" s="7"/>
      <c r="K99" s="6" t="s">
        <v>75</v>
      </c>
      <c r="L99" s="7" t="s">
        <v>2260</v>
      </c>
      <c r="M99" s="7"/>
    </row>
    <row r="100" customFormat="false" ht="72" hidden="false" customHeight="true" outlineLevel="0" collapsed="false">
      <c r="A100" s="9" t="n">
        <v>96</v>
      </c>
      <c r="B100" s="10" t="s">
        <v>2261</v>
      </c>
      <c r="C100" s="9" t="s">
        <v>44</v>
      </c>
      <c r="D100" s="9" t="s">
        <v>256</v>
      </c>
      <c r="E100" s="10" t="s">
        <v>1684</v>
      </c>
      <c r="F100" s="10" t="s">
        <v>2147</v>
      </c>
      <c r="G100" s="10"/>
      <c r="H100" s="10"/>
      <c r="I100" s="10" t="s">
        <v>2262</v>
      </c>
      <c r="J100" s="10"/>
      <c r="K100" s="9" t="s">
        <v>75</v>
      </c>
      <c r="L100" s="10" t="s">
        <v>2263</v>
      </c>
      <c r="M100" s="10"/>
    </row>
    <row r="101" customFormat="false" ht="72" hidden="false" customHeight="true" outlineLevel="0" collapsed="false">
      <c r="A101" s="6" t="n">
        <v>97</v>
      </c>
      <c r="B101" s="7" t="s">
        <v>2264</v>
      </c>
      <c r="C101" s="6" t="s">
        <v>44</v>
      </c>
      <c r="D101" s="6" t="s">
        <v>256</v>
      </c>
      <c r="E101" s="7" t="s">
        <v>1684</v>
      </c>
      <c r="F101" s="7" t="s">
        <v>2147</v>
      </c>
      <c r="G101" s="7"/>
      <c r="H101" s="7"/>
      <c r="I101" s="7" t="s">
        <v>2265</v>
      </c>
      <c r="J101" s="7"/>
      <c r="K101" s="6" t="s">
        <v>75</v>
      </c>
      <c r="L101" s="7" t="s">
        <v>2266</v>
      </c>
      <c r="M101" s="7"/>
    </row>
    <row r="102" customFormat="false" ht="72" hidden="false" customHeight="true" outlineLevel="0" collapsed="false">
      <c r="A102" s="9" t="n">
        <v>98</v>
      </c>
      <c r="B102" s="10" t="s">
        <v>2267</v>
      </c>
      <c r="C102" s="9" t="s">
        <v>44</v>
      </c>
      <c r="D102" s="9" t="s">
        <v>256</v>
      </c>
      <c r="E102" s="10" t="s">
        <v>1684</v>
      </c>
      <c r="F102" s="10" t="s">
        <v>2147</v>
      </c>
      <c r="G102" s="10"/>
      <c r="H102" s="10"/>
      <c r="I102" s="10" t="s">
        <v>2268</v>
      </c>
      <c r="J102" s="10"/>
      <c r="K102" s="9" t="s">
        <v>75</v>
      </c>
      <c r="L102" s="10" t="s">
        <v>2269</v>
      </c>
      <c r="M102" s="10"/>
    </row>
    <row r="103" customFormat="false" ht="72" hidden="false" customHeight="true" outlineLevel="0" collapsed="false">
      <c r="A103" s="6" t="n">
        <v>99</v>
      </c>
      <c r="B103" s="7" t="s">
        <v>2270</v>
      </c>
      <c r="C103" s="6" t="s">
        <v>44</v>
      </c>
      <c r="D103" s="6" t="s">
        <v>256</v>
      </c>
      <c r="E103" s="7" t="s">
        <v>1684</v>
      </c>
      <c r="F103" s="7" t="s">
        <v>2147</v>
      </c>
      <c r="G103" s="7" t="s">
        <v>2271</v>
      </c>
      <c r="H103" s="7"/>
      <c r="I103" s="7" t="s">
        <v>2272</v>
      </c>
      <c r="J103" s="7"/>
      <c r="K103" s="6" t="s">
        <v>75</v>
      </c>
      <c r="L103" s="7" t="s">
        <v>2273</v>
      </c>
      <c r="M103" s="7"/>
    </row>
    <row r="104" customFormat="false" ht="72" hidden="false" customHeight="true" outlineLevel="0" collapsed="false">
      <c r="A104" s="9" t="n">
        <v>100</v>
      </c>
      <c r="B104" s="10" t="s">
        <v>2274</v>
      </c>
      <c r="C104" s="9" t="s">
        <v>44</v>
      </c>
      <c r="D104" s="9" t="s">
        <v>256</v>
      </c>
      <c r="E104" s="10" t="s">
        <v>1684</v>
      </c>
      <c r="F104" s="10" t="s">
        <v>2147</v>
      </c>
      <c r="G104" s="10"/>
      <c r="H104" s="10"/>
      <c r="I104" s="10"/>
      <c r="J104" s="10" t="s">
        <v>2275</v>
      </c>
      <c r="K104" s="9" t="s">
        <v>75</v>
      </c>
      <c r="L104" s="10" t="s">
        <v>2276</v>
      </c>
      <c r="M104" s="10"/>
    </row>
    <row r="105" customFormat="false" ht="72" hidden="false" customHeight="true" outlineLevel="0" collapsed="false">
      <c r="A105" s="6" t="n">
        <v>101</v>
      </c>
      <c r="B105" s="7" t="s">
        <v>2277</v>
      </c>
      <c r="C105" s="6" t="s">
        <v>44</v>
      </c>
      <c r="D105" s="6" t="s">
        <v>256</v>
      </c>
      <c r="E105" s="7" t="s">
        <v>1684</v>
      </c>
      <c r="F105" s="7" t="s">
        <v>2147</v>
      </c>
      <c r="G105" s="7"/>
      <c r="H105" s="7"/>
      <c r="I105" s="7" t="s">
        <v>2278</v>
      </c>
      <c r="J105" s="7"/>
      <c r="K105" s="6" t="s">
        <v>75</v>
      </c>
      <c r="L105" s="7" t="s">
        <v>2279</v>
      </c>
      <c r="M105" s="7"/>
    </row>
    <row r="106" customFormat="false" ht="72" hidden="false" customHeight="true" outlineLevel="0" collapsed="false">
      <c r="A106" s="9" t="n">
        <v>102</v>
      </c>
      <c r="B106" s="10" t="s">
        <v>2280</v>
      </c>
      <c r="C106" s="9" t="s">
        <v>44</v>
      </c>
      <c r="D106" s="9" t="s">
        <v>256</v>
      </c>
      <c r="E106" s="10" t="s">
        <v>1684</v>
      </c>
      <c r="F106" s="10" t="s">
        <v>2147</v>
      </c>
      <c r="G106" s="10"/>
      <c r="H106" s="10"/>
      <c r="I106" s="10" t="s">
        <v>2281</v>
      </c>
      <c r="J106" s="10"/>
      <c r="K106" s="9" t="s">
        <v>75</v>
      </c>
      <c r="L106" s="10" t="s">
        <v>2282</v>
      </c>
      <c r="M106" s="10"/>
    </row>
    <row r="107" customFormat="false" ht="72" hidden="false" customHeight="true" outlineLevel="0" collapsed="false">
      <c r="A107" s="6" t="n">
        <v>103</v>
      </c>
      <c r="B107" s="7" t="s">
        <v>2283</v>
      </c>
      <c r="C107" s="6" t="s">
        <v>44</v>
      </c>
      <c r="D107" s="6" t="s">
        <v>256</v>
      </c>
      <c r="E107" s="7" t="s">
        <v>1684</v>
      </c>
      <c r="F107" s="7" t="s">
        <v>2147</v>
      </c>
      <c r="G107" s="7"/>
      <c r="H107" s="7"/>
      <c r="I107" s="7" t="s">
        <v>2284</v>
      </c>
      <c r="J107" s="7"/>
      <c r="K107" s="6" t="s">
        <v>75</v>
      </c>
      <c r="L107" s="7" t="s">
        <v>2285</v>
      </c>
      <c r="M107" s="7"/>
    </row>
    <row r="108" customFormat="false" ht="72" hidden="false" customHeight="true" outlineLevel="0" collapsed="false">
      <c r="A108" s="9" t="n">
        <v>104</v>
      </c>
      <c r="B108" s="10" t="s">
        <v>2286</v>
      </c>
      <c r="C108" s="9" t="s">
        <v>44</v>
      </c>
      <c r="D108" s="9" t="s">
        <v>256</v>
      </c>
      <c r="E108" s="10" t="s">
        <v>1684</v>
      </c>
      <c r="F108" s="10" t="s">
        <v>2147</v>
      </c>
      <c r="G108" s="10"/>
      <c r="H108" s="10"/>
      <c r="I108" s="10" t="s">
        <v>2287</v>
      </c>
      <c r="J108" s="10"/>
      <c r="K108" s="9" t="s">
        <v>75</v>
      </c>
      <c r="L108" s="10" t="s">
        <v>2288</v>
      </c>
      <c r="M108" s="10"/>
    </row>
    <row r="110" customFormat="false" ht="15" hidden="false" customHeight="false" outlineLevel="0" collapsed="false">
      <c r="B110" s="11" t="s">
        <v>2289</v>
      </c>
      <c r="C110" s="12" t="n">
        <f aca="false">COUNTA(B5:B108)</f>
        <v>104</v>
      </c>
    </row>
    <row r="111" customFormat="false" ht="15" hidden="false" customHeight="false" outlineLevel="0" collapsed="false">
      <c r="B111" s="11" t="s">
        <v>1811</v>
      </c>
      <c r="C111" s="12" t="n">
        <f aca="false">COUNTIF(K5:K108,"High")</f>
        <v>37</v>
      </c>
    </row>
    <row r="112" customFormat="false" ht="15" hidden="false" customHeight="false" outlineLevel="0" collapsed="false">
      <c r="B112" s="11" t="s">
        <v>2290</v>
      </c>
      <c r="C112" s="12" t="n">
        <f aca="false">COUNTIF(D5:D108,"Bayraklı")</f>
        <v>10</v>
      </c>
    </row>
    <row r="113" customFormat="false" ht="15" hidden="false" customHeight="false" outlineLevel="0" collapsed="false">
      <c r="B113" s="11" t="s">
        <v>2291</v>
      </c>
      <c r="C113" s="12" t="n">
        <f aca="false">COUNTIF(D5:D108,"Konak")</f>
        <v>21</v>
      </c>
    </row>
    <row r="114" customFormat="false" ht="15" hidden="false" customHeight="false" outlineLevel="0" collapsed="false">
      <c r="B114" s="11" t="s">
        <v>2292</v>
      </c>
      <c r="C114" s="12" t="n">
        <f aca="false">COUNTIF(D5:D108,"Karşıyaka")</f>
        <v>8</v>
      </c>
    </row>
    <row r="115" customFormat="false" ht="15" hidden="false" customHeight="false" outlineLevel="0" collapsed="false">
      <c r="B115" s="11" t="s">
        <v>2293</v>
      </c>
      <c r="C115" s="12" t="n">
        <f aca="false">COUNTIF(D5:D108,"Bornova")</f>
        <v>6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2026-04-20T16:31:56Z</dcterms:created>
  <dc:creator>openpyxl</dc:creator>
  <dc:description/>
  <dc:language>en-US</dc:language>
  <cp:lastModifiedBy/>
  <dcterms:modified xsi:type="dcterms:W3CDTF">2026-04-20T16:31:57Z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