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gencies" sheetId="2" state="visible" r:id="rId4"/>
    <sheet name="Priority A - Hot leads" sheetId="3" state="visible" r:id="rId5"/>
    <sheet name="Priority B - Warm leads" sheetId="4" state="visible" r:id="rId6"/>
    <sheet name="Priority C - Long tail" sheetId="5" state="visible" r:id="rId7"/>
    <sheet name="Outreach tracker" sheetId="6" state="visible" r:id="rId8"/>
  </sheets>
  <definedNames>
    <definedName function="false" hidden="true" localSheetId="1" name="_xlnm._FilterDatabase" vbProcedure="false">Agencies!$A$1:$N$52</definedName>
    <definedName function="false" hidden="true" localSheetId="2" name="_xlnm._FilterDatabase" vbProcedure="false">'Priority A - Hot leads'!$A$2:$N$15</definedName>
    <definedName function="false" hidden="true" localSheetId="3" name="_xlnm._FilterDatabase" vbProcedure="false">'Priority B - Warm leads'!$A$2:$N$18</definedName>
    <definedName function="false" hidden="true" localSheetId="4" name="_xlnm._FilterDatabase" vbProcedure="false">'Priority C - Long tail'!$A$2:$N$24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<sst xmlns="http://schemas.openxmlformats.org/spreadsheetml/2006/main" count="1156" uniqueCount="339">
  <si>
    <t xml:space="preserve">Yappaflow — Turkey Outreach Contact List</t>
  </si>
  <si>
    <t xml:space="preserve">Generated</t>
  </si>
  <si>
    <t xml:space="preserve">2026-04-29 (automated scheduled run)</t>
  </si>
  <si>
    <t xml:space="preserve">Owner</t>
  </si>
  <si>
    <t xml:space="preserve">Yusuf Mirza Pıçakcı</t>
  </si>
  <si>
    <t xml:space="preserve">Note</t>
  </si>
  <si>
    <t xml:space="preserve">User asked to send a file first but couldn't from the scheduling UI.</t>
  </si>
  <si>
    <t xml:space="preserve">This sheet was built fresh from public web research as the agreed fallback.</t>
  </si>
  <si>
    <t xml:space="preserve">User can paste their existing contacts into the 'Agencies' sheet and dedupe.</t>
  </si>
  <si>
    <t xml:space="preserve">What Yappaflow is (one-line)</t>
  </si>
  <si>
    <t xml:space="preserve">Turns agency conversations into shippable websites — signal → AI → SiteProject → in-house builder → CMS export (Shopify / Webflow / WordPress / IKAS).</t>
  </si>
  <si>
    <t xml:space="preserve">Who's the target (ICP)</t>
  </si>
  <si>
    <t xml:space="preserve">Turkish web design &amp; digital agencies that build client websites; e-commerce-focused agencies (especially IKAS / Shopify / Ticimax / Ideasoft partners); branding studios; freelance senior web designers.</t>
  </si>
  <si>
    <t xml:space="preserve">How the list is organized</t>
  </si>
  <si>
    <t xml:space="preserve">Sheet 'Agencies'</t>
  </si>
  <si>
    <t xml:space="preserve">Main list — name, city, focus, website, email, phone, fit reason, priority, status.</t>
  </si>
  <si>
    <t xml:space="preserve">Sheet 'Priority A — Hot leads'</t>
  </si>
  <si>
    <t xml:space="preserve">IKAS / Shopify / Webflow partners — most direct CMS-adapter overlap. Reach out first.</t>
  </si>
  <si>
    <t xml:space="preserve">Sheet 'Priority B — Warm leads'</t>
  </si>
  <si>
    <t xml:space="preserve">General digital agencies that build client websites at scale.</t>
  </si>
  <si>
    <t xml:space="preserve">Sheet 'Priority C — Long tail'</t>
  </si>
  <si>
    <t xml:space="preserve">Smaller studios / branding shops / regional agencies.</t>
  </si>
  <si>
    <t xml:space="preserve">Outreach status legend</t>
  </si>
  <si>
    <t xml:space="preserve">Not contacted</t>
  </si>
  <si>
    <t xml:space="preserve">Default — not yet reached out.</t>
  </si>
  <si>
    <t xml:space="preserve">Researching</t>
  </si>
  <si>
    <t xml:space="preserve">Need more info before contacting.</t>
  </si>
  <si>
    <t xml:space="preserve">Contacted</t>
  </si>
  <si>
    <t xml:space="preserve">First message sent.</t>
  </si>
  <si>
    <t xml:space="preserve">Replied</t>
  </si>
  <si>
    <t xml:space="preserve">They responded — track follow-up date.</t>
  </si>
  <si>
    <t xml:space="preserve">Meeting booked</t>
  </si>
  <si>
    <t xml:space="preserve">Demo scheduled.</t>
  </si>
  <si>
    <t xml:space="preserve">Pilot</t>
  </si>
  <si>
    <t xml:space="preserve">Trying Yappaflow on a real project.</t>
  </si>
  <si>
    <t xml:space="preserve">Customer</t>
  </si>
  <si>
    <t xml:space="preserve">Paying.</t>
  </si>
  <si>
    <t xml:space="preserve">Not a fit</t>
  </si>
  <si>
    <t xml:space="preserve">Confirmed not interested or wrong ICP.</t>
  </si>
  <si>
    <t xml:space="preserve">Disclaimer</t>
  </si>
  <si>
    <t xml:space="preserve">Emails / phones below are scraped from public agency sites and directories. Verify before outreach. Some entries only have a website — visit /contact to find the right person.</t>
  </si>
  <si>
    <t xml:space="preserve">Priority</t>
  </si>
  <si>
    <t xml:space="preserve">Agency Name</t>
  </si>
  <si>
    <t xml:space="preserve">City</t>
  </si>
  <si>
    <t xml:space="preserve">Country</t>
  </si>
  <si>
    <t xml:space="preserve">Focus / Specialty</t>
  </si>
  <si>
    <t xml:space="preserve">CMS / Platforms</t>
  </si>
  <si>
    <t xml:space="preserve">Website</t>
  </si>
  <si>
    <t xml:space="preserve">Email</t>
  </si>
  <si>
    <t xml:space="preserve">Phone</t>
  </si>
  <si>
    <t xml:space="preserve">LinkedIn</t>
  </si>
  <si>
    <t xml:space="preserve">Why a fit for Yappaflow</t>
  </si>
  <si>
    <t xml:space="preserve">Source</t>
  </si>
  <si>
    <t xml:space="preserve">Status</t>
  </si>
  <si>
    <t xml:space="preserve">Notes</t>
  </si>
  <si>
    <t xml:space="preserve">A</t>
  </si>
  <si>
    <t xml:space="preserve">Prix Studio</t>
  </si>
  <si>
    <t xml:space="preserve">Istanbul / London</t>
  </si>
  <si>
    <t xml:space="preserve">Turkey</t>
  </si>
  <si>
    <t xml:space="preserve">E-commerce design + branding</t>
  </si>
  <si>
    <t xml:space="preserve">IKAS, Shopify</t>
  </si>
  <si>
    <t xml:space="preserve">https://prix-studio.com</t>
  </si>
  <si>
    <t xml:space="preserve">https://www.linkedin.com/company/prix-studio</t>
  </si>
  <si>
    <t xml:space="preserve">Official IKAS + Shopify partner — exactly the dual-platform agency Yappaflow's CMS adapters target.</t>
  </si>
  <si>
    <t xml:space="preserve">prix-studio.com / Shopify Partner Directory</t>
  </si>
  <si>
    <t xml:space="preserve">Has Istanbul + London offices — likely runs many client builds in parallel.</t>
  </si>
  <si>
    <t xml:space="preserve">YCF Digital</t>
  </si>
  <si>
    <t xml:space="preserve">Istanbul</t>
  </si>
  <si>
    <t xml:space="preserve">E-commerce + digital consulting</t>
  </si>
  <si>
    <t xml:space="preserve">IKAS</t>
  </si>
  <si>
    <t xml:space="preserve">https://ycfdigital.com</t>
  </si>
  <si>
    <t xml:space="preserve">Official IKAS Partner with transparent pricing — agencies billing per-project benefit most from a faster build pipeline.</t>
  </si>
  <si>
    <t xml:space="preserve">ycfdigital.com</t>
  </si>
  <si>
    <t xml:space="preserve">Digimify</t>
  </si>
  <si>
    <t xml:space="preserve">IKAS migrations + e-commerce builds</t>
  </si>
  <si>
    <t xml:space="preserve">https://digimify.com</t>
  </si>
  <si>
    <t xml:space="preserve">Verified IKAS migration partner — Yappaflow's deterministic SiteProject→IKAS export is exactly their day job.</t>
  </si>
  <si>
    <t xml:space="preserve">digimify.com</t>
  </si>
  <si>
    <t xml:space="preserve">Creamake</t>
  </si>
  <si>
    <t xml:space="preserve">Storefront design + UI/UX on IKAS</t>
  </si>
  <si>
    <t xml:space="preserve">Brand-specific IKAS storefronts — would value AI-assisted design generation that still ships clean IKAS code.</t>
  </si>
  <si>
    <t xml:space="preserve">Prix Studio blog roundup</t>
  </si>
  <si>
    <t xml:space="preserve">Find contact via their portfolio site.</t>
  </si>
  <si>
    <t xml:space="preserve">Alis Dijital</t>
  </si>
  <si>
    <t xml:space="preserve">E-commerce — mixed portfolio</t>
  </si>
  <si>
    <t xml:space="preserve">Mixed IKAS + Shopify shop — perfect for the cross-platform CMS export pitch.</t>
  </si>
  <si>
    <t xml:space="preserve">Shopiuzman</t>
  </si>
  <si>
    <t xml:space="preserve">Shopify-only specialist</t>
  </si>
  <si>
    <t xml:space="preserve">Shopify</t>
  </si>
  <si>
    <t xml:space="preserve">https://www.shopify.com/partners/directory/partner/acil-creative</t>
  </si>
  <si>
    <t xml:space="preserve">Officially certified Shopify-only agency — narrow focus, high build volume, will care about a faster pipeline.</t>
  </si>
  <si>
    <t xml:space="preserve">Shopify Partner Directory</t>
  </si>
  <si>
    <t xml:space="preserve">Digital Pals</t>
  </si>
  <si>
    <t xml:space="preserve">Custom UI/UX + Shopify</t>
  </si>
  <si>
    <t xml:space="preserve">Shopify (Ticimax→Shopify migrations)</t>
  </si>
  <si>
    <t xml:space="preserve">https://www.shopify.com/partners/directory/partner/digital-pals1</t>
  </si>
  <si>
    <t xml:space="preserve">Does Ticimax→Shopify migrations — Yappaflow's adapter layer maps cleanly to that workflow.</t>
  </si>
  <si>
    <t xml:space="preserve">PATH (Product &amp; Software House)</t>
  </si>
  <si>
    <t xml:space="preserve">Shopify Plus custom builds</t>
  </si>
  <si>
    <t xml:space="preserve">Shopify, Shopify Plus</t>
  </si>
  <si>
    <t xml:space="preserve">https://path.com.tr/shopify-development-and-consultancy</t>
  </si>
  <si>
    <t xml:space="preserve">Custom Shopify Plus shops at scale — top end of the agency market, the kind that pays for tooling.</t>
  </si>
  <si>
    <t xml:space="preserve">path.com.tr</t>
  </si>
  <si>
    <t xml:space="preserve">Sweans Technologies (Istanbul office)</t>
  </si>
  <si>
    <t xml:space="preserve">E-commerce, Shopify expert</t>
  </si>
  <si>
    <t xml:space="preserve">https://www.sweans.com/region/istanbul-turkey/</t>
  </si>
  <si>
    <t xml:space="preserve">Shopify partner since 2006 — established, multiple offices, strong candidate for partnership.</t>
  </si>
  <si>
    <t xml:space="preserve">sweans.com</t>
  </si>
  <si>
    <t xml:space="preserve">Nodus Works</t>
  </si>
  <si>
    <t xml:space="preserve">Shopify / Shopify Plus implementations</t>
  </si>
  <si>
    <t xml:space="preserve">https://www.linkedin.com/company/nodusworks</t>
  </si>
  <si>
    <t xml:space="preserve">250+ Shopify projects since 2020 — high-volume, proven CMS execution. Prime ICP.</t>
  </si>
  <si>
    <t xml:space="preserve">Public agency listing</t>
  </si>
  <si>
    <t xml:space="preserve">Find contact via LinkedIn or partner directory.</t>
  </si>
  <si>
    <t xml:space="preserve">Pratikis</t>
  </si>
  <si>
    <t xml:space="preserve">Shopify partner agency</t>
  </si>
  <si>
    <t xml:space="preserve">https://www.pratikis.com/shopify-partner-turkiye/</t>
  </si>
  <si>
    <t xml:space="preserve">Official Shopify Türkiye Partner since 2018 — long-standing relationship, hundreds of clients.</t>
  </si>
  <si>
    <t xml:space="preserve">pratikis.com</t>
  </si>
  <si>
    <t xml:space="preserve">Flowtrix</t>
  </si>
  <si>
    <t xml:space="preserve">Webflow B2B sites</t>
  </si>
  <si>
    <t xml:space="preserve">Webflow</t>
  </si>
  <si>
    <t xml:space="preserve">https://www.flowtrix.co/location/istanbul</t>
  </si>
  <si>
    <t xml:space="preserve">Calls itself the #1 Webflow agency in Istanbul — Yappaflow's Webflow CMS adapter is directly relevant.</t>
  </si>
  <si>
    <t xml:space="preserve">flowtrix.co</t>
  </si>
  <si>
    <t xml:space="preserve">Digitale.tr</t>
  </si>
  <si>
    <t xml:space="preserve">Multi-platform e-commerce setup</t>
  </si>
  <si>
    <t xml:space="preserve">Shopify, IKAS, Ticimax</t>
  </si>
  <si>
    <t xml:space="preserve">https://digitale.tr/en/services/ecommerce-setup</t>
  </si>
  <si>
    <t xml:space="preserve">Triple-platform agency (Shopify + IKAS + Ticimax) — exactly the multi-CMS use case Yappaflow solves.</t>
  </si>
  <si>
    <t xml:space="preserve">digitale.tr</t>
  </si>
  <si>
    <t xml:space="preserve">Confirmed multi-CMS shop in research.</t>
  </si>
  <si>
    <t xml:space="preserve">B</t>
  </si>
  <si>
    <t xml:space="preserve">MediaClick</t>
  </si>
  <si>
    <t xml:space="preserve">Istanbul + Manisa</t>
  </si>
  <si>
    <t xml:space="preserve">Web + mobile, smart software</t>
  </si>
  <si>
    <t xml:space="preserve">Custom, WordPress</t>
  </si>
  <si>
    <t xml:space="preserve">https://www.mediaclick.com.tr/en/contact</t>
  </si>
  <si>
    <t xml:space="preserve">+90 850 811 25 30</t>
  </si>
  <si>
    <t xml:space="preserve">https://www.linkedin.com/company/mediaclick</t>
  </si>
  <si>
    <t xml:space="preserve">22+ years; multiple Golden Spider Web Awards; among Turkey's top-10 web/mobile agencies — flagship-tier ICP.</t>
  </si>
  <si>
    <t xml:space="preserve">mediaclick.com.tr</t>
  </si>
  <si>
    <t xml:space="preserve">Levent + Manisa Teknokent offices.</t>
  </si>
  <si>
    <t xml:space="preserve">Lein Digital</t>
  </si>
  <si>
    <t xml:space="preserve">Performance marketing + web dev</t>
  </si>
  <si>
    <t xml:space="preserve">https://leindigital.com</t>
  </si>
  <si>
    <t xml:space="preserve">https://www.linkedin.com/company/lein-digital</t>
  </si>
  <si>
    <t xml:space="preserve">Founded 2016 by Can Doğan; serves Europe / NA / ME — the kind of agency that ships many client sites/year.</t>
  </si>
  <si>
    <t xml:space="preserve">DesignRush / TechBehemoths</t>
  </si>
  <si>
    <t xml:space="preserve">Wunderdogs</t>
  </si>
  <si>
    <t xml:space="preserve">Branding + website design</t>
  </si>
  <si>
    <t xml:space="preserve">Custom</t>
  </si>
  <si>
    <t xml:space="preserve">https://www.wunderdogs.co/contact</t>
  </si>
  <si>
    <t xml:space="preserve">100% positive feedback; brand + site as a package — Yappaflow's SiteProject canonical format helps deliver faster.</t>
  </si>
  <si>
    <t xml:space="preserve">wunderdogs.co</t>
  </si>
  <si>
    <t xml:space="preserve">Sentez Bilişim</t>
  </si>
  <si>
    <t xml:space="preserve">Web design + e-com (WooCommerce, OpenCart)</t>
  </si>
  <si>
    <t xml:space="preserve">WooCommerce, OpenCart, WordPress</t>
  </si>
  <si>
    <t xml:space="preserve">Mid-market web design + SEO agency — typical Turkish SMB-serving shop where Yappaflow saves hours per project.</t>
  </si>
  <si>
    <t xml:space="preserve">TechBehemoths Istanbul list</t>
  </si>
  <si>
    <t xml:space="preserve">Source Software</t>
  </si>
  <si>
    <t xml:space="preserve">Web dev, SEO, mobile</t>
  </si>
  <si>
    <t xml:space="preserve">Diverse client portfolio (education, news, furniture) — generalist agency that ships volume.</t>
  </si>
  <si>
    <t xml:space="preserve">Clutch.co Istanbul</t>
  </si>
  <si>
    <t xml:space="preserve">GENIO</t>
  </si>
  <si>
    <t xml:space="preserve">Web development for agencies</t>
  </si>
  <si>
    <t xml:space="preserve">Studio that works with creative agencies (B2B-to-agency) — could be a channel partner.</t>
  </si>
  <si>
    <t xml:space="preserve">Sortlist Istanbul</t>
  </si>
  <si>
    <t xml:space="preserve">Worth a strategic conversation, not just a sale.</t>
  </si>
  <si>
    <t xml:space="preserve">Studio Nord</t>
  </si>
  <si>
    <t xml:space="preserve">UI/UX + web/mobile, social</t>
  </si>
  <si>
    <t xml:space="preserve">Award-winning multi-platform studio — quality-conscious customers love a tool that doesn't sacrifice design.</t>
  </si>
  <si>
    <t xml:space="preserve">Iktomi</t>
  </si>
  <si>
    <t xml:space="preserve">Responsive web + UI/UX</t>
  </si>
  <si>
    <t xml:space="preserve">100% positive feedback for creativity + management — boutique with tight project cycles.</t>
  </si>
  <si>
    <t xml:space="preserve">Clutch.co</t>
  </si>
  <si>
    <t xml:space="preserve">Fireart Studio (Istanbul presence)</t>
  </si>
  <si>
    <t xml:space="preserve">UI/UX + custom web dev</t>
  </si>
  <si>
    <t xml:space="preserve">https://fireart.studio</t>
  </si>
  <si>
    <t xml:space="preserve">100% satisfaction rate; senior UI/UX shop — care about design fidelity, key Yappaflow value.</t>
  </si>
  <si>
    <t xml:space="preserve">Verify Istanbul vs HQ before pitching.</t>
  </si>
  <si>
    <t xml:space="preserve">FUHA Studio</t>
  </si>
  <si>
    <t xml:space="preserve">Branding + digital products + web</t>
  </si>
  <si>
    <t xml:space="preserve">Branding-led studio (founded 2018) — exactly the type that complains about CMS handoff.</t>
  </si>
  <si>
    <t xml:space="preserve">DesignRush</t>
  </si>
  <si>
    <t xml:space="preserve">Scope Digital</t>
  </si>
  <si>
    <t xml:space="preserve">Creative digital agency</t>
  </si>
  <si>
    <t xml:space="preserve">5 years, hundreds of projects — high-volume creative shop.</t>
  </si>
  <si>
    <t xml:space="preserve">Istcode</t>
  </si>
  <si>
    <t xml:space="preserve">360° digital strategy + web</t>
  </si>
  <si>
    <t xml:space="preserve">https://www.istcode.com/en/</t>
  </si>
  <si>
    <t xml:space="preserve">Full-service: strategy through web — Yappaflow accelerates the build phase of their delivery.</t>
  </si>
  <si>
    <t xml:space="preserve">istcode.com</t>
  </si>
  <si>
    <t xml:space="preserve">Ortak Sanatlar</t>
  </si>
  <si>
    <t xml:space="preserve">Integrated digital marketing + web</t>
  </si>
  <si>
    <t xml:space="preserve">https://ortaksanatlar.com/en/</t>
  </si>
  <si>
    <t xml:space="preserve">12 years bringing stats + marketing + web together — analytical agency that values process tooling.</t>
  </si>
  <si>
    <t xml:space="preserve">ortaksanatlar.com</t>
  </si>
  <si>
    <t xml:space="preserve">Ali Tarhan Digital Workshop</t>
  </si>
  <si>
    <t xml:space="preserve">Strategy-led digital experiences</t>
  </si>
  <si>
    <t xml:space="preserve">Strategy-led boutique — fewer-but-bigger client engagements.</t>
  </si>
  <si>
    <t xml:space="preserve">Public listing</t>
  </si>
  <si>
    <t xml:space="preserve">Black Cap Media</t>
  </si>
  <si>
    <t xml:space="preserve">Digital marketing for global brands</t>
  </si>
  <si>
    <t xml:space="preserve">https://theblackcapmedia.com</t>
  </si>
  <si>
    <t xml:space="preserve">Since 2006; serves global brands from Turkey — premium positioning.</t>
  </si>
  <si>
    <t xml:space="preserve">theblackcapmedia.com</t>
  </si>
  <si>
    <t xml:space="preserve">I-AM</t>
  </si>
  <si>
    <t xml:space="preserve">Branding + creative</t>
  </si>
  <si>
    <t xml:space="preserve">—</t>
  </si>
  <si>
    <t xml:space="preserve">https://www.i-amonline.com/studios/istanbul</t>
  </si>
  <si>
    <t xml:space="preserve">Global brand-experience firm with Istanbul studio — adjacent buyer; refers website work to partners.</t>
  </si>
  <si>
    <t xml:space="preserve">i-amonline.com</t>
  </si>
  <si>
    <t xml:space="preserve">Less direct fit; potential referral partner.</t>
  </si>
  <si>
    <t xml:space="preserve">C</t>
  </si>
  <si>
    <t xml:space="preserve">Grimor Web Tasarım</t>
  </si>
  <si>
    <t xml:space="preserve">Web design + software</t>
  </si>
  <si>
    <t xml:space="preserve">https://www.grimor.com/</t>
  </si>
  <si>
    <t xml:space="preserve">info@grimor.com</t>
  </si>
  <si>
    <t xml:space="preserve">+90 212 272 46 00</t>
  </si>
  <si>
    <t xml:space="preserve">Mid-tier Istanbul shop; verified email — easy first ping.</t>
  </si>
  <si>
    <t xml:space="preserve">grimor.com</t>
  </si>
  <si>
    <t xml:space="preserve">GSM also available: +90 532 227 32 89.</t>
  </si>
  <si>
    <t xml:space="preserve">Maksimum Ajans</t>
  </si>
  <si>
    <t xml:space="preserve">Istanbul + Izmir</t>
  </si>
  <si>
    <t xml:space="preserve">Web + software</t>
  </si>
  <si>
    <t xml:space="preserve">https://maksimumajans.com/en/contact/</t>
  </si>
  <si>
    <t xml:space="preserve">info@maksimumajans.com</t>
  </si>
  <si>
    <t xml:space="preserve">+90 850 811 36 84</t>
  </si>
  <si>
    <t xml:space="preserve">Two-city presence (Istanbul + Izmir) — broader regional reach.</t>
  </si>
  <si>
    <t xml:space="preserve">maksimumajans.com</t>
  </si>
  <si>
    <t xml:space="preserve">Izmir mobile: +90 546 974 86 51.</t>
  </si>
  <si>
    <t xml:space="preserve">Blue Ajans</t>
  </si>
  <si>
    <t xml:space="preserve">Ankara</t>
  </si>
  <si>
    <t xml:space="preserve">Web + digital marketing</t>
  </si>
  <si>
    <t xml:space="preserve">https://www.blueajans.com.tr/</t>
  </si>
  <si>
    <t xml:space="preserve">+90 553 939 25 83</t>
  </si>
  <si>
    <t xml:space="preserve">Ankara-based — represents the capital-city agency segment.</t>
  </si>
  <si>
    <t xml:space="preserve">blueajans.com.tr</t>
  </si>
  <si>
    <t xml:space="preserve">Email obfuscated on site — fetch contact form.</t>
  </si>
  <si>
    <t xml:space="preserve">Web Tasarım Sistemleri (W.T.S)</t>
  </si>
  <si>
    <t xml:space="preserve">Istanbul (Pendik)</t>
  </si>
  <si>
    <t xml:space="preserve">Corporate web design + software</t>
  </si>
  <si>
    <t xml:space="preserve">https://www.webtasarimsistemleri.com/</t>
  </si>
  <si>
    <t xml:space="preserve">Award-winning corporate-tier shop, 2012+.</t>
  </si>
  <si>
    <t xml:space="preserve">webtasarimsistemleri.com</t>
  </si>
  <si>
    <t xml:space="preserve">Web Mimarisi</t>
  </si>
  <si>
    <t xml:space="preserve">https://www.webmimarisi.com/iletisim</t>
  </si>
  <si>
    <t xml:space="preserve">+90 538 625 26 23</t>
  </si>
  <si>
    <t xml:space="preserve">Ankara-based; WhatsApp contact available.</t>
  </si>
  <si>
    <t xml:space="preserve">webmimarisi.com</t>
  </si>
  <si>
    <t xml:space="preserve">Webintek</t>
  </si>
  <si>
    <t xml:space="preserve">Turkey (multi-region)</t>
  </si>
  <si>
    <t xml:space="preserve">Corporate web design</t>
  </si>
  <si>
    <t xml:space="preserve">https://webintek.com.tr/</t>
  </si>
  <si>
    <t xml:space="preserve">Operates across Turkish regions; field-visit model — high-touch.</t>
  </si>
  <si>
    <t xml:space="preserve">webintek.com.tr</t>
  </si>
  <si>
    <t xml:space="preserve">Biltek Tasarım</t>
  </si>
  <si>
    <t xml:space="preserve">https://www.biltektasarim.com/</t>
  </si>
  <si>
    <t xml:space="preserve">Award-winning corporate web shop.</t>
  </si>
  <si>
    <t xml:space="preserve">biltektasarim.com</t>
  </si>
  <si>
    <t xml:space="preserve">Creodive</t>
  </si>
  <si>
    <t xml:space="preserve">https://www.creodive.com.tr/en/home/</t>
  </si>
  <si>
    <t xml:space="preserve">Corporate-tier; English site available — comfortable selling internationally.</t>
  </si>
  <si>
    <t xml:space="preserve">creodive.com.tr</t>
  </si>
  <si>
    <t xml:space="preserve">Arma Digital</t>
  </si>
  <si>
    <t xml:space="preserve">Digital agency</t>
  </si>
  <si>
    <t xml:space="preserve">https://www.armadigital.com.tr/</t>
  </si>
  <si>
    <t xml:space="preserve">Generalist digital agency.</t>
  </si>
  <si>
    <t xml:space="preserve">armadigital.com.tr</t>
  </si>
  <si>
    <t xml:space="preserve">WPCenter</t>
  </si>
  <si>
    <t xml:space="preserve">Ankara (Çankaya)</t>
  </si>
  <si>
    <t xml:space="preserve">WordPress development + maintenance</t>
  </si>
  <si>
    <t xml:space="preserve">WordPress</t>
  </si>
  <si>
    <t xml:space="preserve">https://wpcenter.io/contact/</t>
  </si>
  <si>
    <t xml:space="preserve">hello@wpcenter.io</t>
  </si>
  <si>
    <t xml:space="preserve">+90 850 308 95 50</t>
  </si>
  <si>
    <t xml:space="preserve">WordPress specialist with verified email — the WordPress adapter is in-scope for Yappaflow.</t>
  </si>
  <si>
    <t xml:space="preserve">wpcenter.io</t>
  </si>
  <si>
    <t xml:space="preserve">Easy first contact — direct email.</t>
  </si>
  <si>
    <t xml:space="preserve">DZNEER</t>
  </si>
  <si>
    <t xml:space="preserve">Branding agency</t>
  </si>
  <si>
    <t xml:space="preserve">Brand-led; sometimes outsources web — could be referral partner.</t>
  </si>
  <si>
    <t xml:space="preserve">Sortlist</t>
  </si>
  <si>
    <t xml:space="preserve">Indirect fit.</t>
  </si>
  <si>
    <t xml:space="preserve">SupDijital</t>
  </si>
  <si>
    <t xml:space="preserve">Digital marketing + web design</t>
  </si>
  <si>
    <t xml:space="preserve">Performance-focused Ankara shop.</t>
  </si>
  <si>
    <t xml:space="preserve">Künye Reklam Ajansı</t>
  </si>
  <si>
    <t xml:space="preserve">Advertising + web</t>
  </si>
  <si>
    <t xml:space="preserve">Established 1992 — long-tenured Ankara agency.</t>
  </si>
  <si>
    <t xml:space="preserve">Email needs site visit.</t>
  </si>
  <si>
    <t xml:space="preserve">Grafiket Adworks</t>
  </si>
  <si>
    <t xml:space="preserve">Izmir</t>
  </si>
  <si>
    <t xml:space="preserve">Creative agency, ~20 designers</t>
  </si>
  <si>
    <t xml:space="preserve">One of Izmir's biggest creative agencies — regional flagship to anchor Aegean expansion.</t>
  </si>
  <si>
    <t xml:space="preserve">Sortlist Izmir</t>
  </si>
  <si>
    <t xml:space="preserve">Holl Studio</t>
  </si>
  <si>
    <t xml:space="preserve">Multidisciplinary design studio</t>
  </si>
  <si>
    <t xml:space="preserve">Boutique Izmir studio (2018) — works with startups + global brands; design-quality buyer.</t>
  </si>
  <si>
    <t xml:space="preserve">Mutfak Yapım</t>
  </si>
  <si>
    <t xml:space="preserve">Digital media + production</t>
  </si>
  <si>
    <t xml:space="preserve">Izmir digital agency.</t>
  </si>
  <si>
    <t xml:space="preserve">PEP Creative Design</t>
  </si>
  <si>
    <t xml:space="preserve">Creative design + brand stories</t>
  </si>
  <si>
    <t xml:space="preserve">https://www.pepistanbul.com/about</t>
  </si>
  <si>
    <t xml:space="preserve">Brand-narrative shop since 2008 — likely subcontracts CMS work.</t>
  </si>
  <si>
    <t xml:space="preserve">pepistanbul.com</t>
  </si>
  <si>
    <t xml:space="preserve">Possible referral partner more than direct buyer.</t>
  </si>
  <si>
    <t xml:space="preserve">432 Design Studio</t>
  </si>
  <si>
    <t xml:space="preserve">Brand + platform design</t>
  </si>
  <si>
    <t xml:space="preserve">https://www.432designstudio.com/</t>
  </si>
  <si>
    <t xml:space="preserve">Platform-builder for inspiring brands.</t>
  </si>
  <si>
    <t xml:space="preserve">432designstudio.com</t>
  </si>
  <si>
    <t xml:space="preserve">Master WEB</t>
  </si>
  <si>
    <t xml:space="preserve">Web design</t>
  </si>
  <si>
    <t xml:space="preserve">Budget-tier shop with a young team — adoption of efficiency tools likely.</t>
  </si>
  <si>
    <t xml:space="preserve">Euromedia</t>
  </si>
  <si>
    <t xml:space="preserve">Corporate web + software</t>
  </si>
  <si>
    <t xml:space="preserve">Corporate web specialist.</t>
  </si>
  <si>
    <t xml:space="preserve">ByWitty</t>
  </si>
  <si>
    <t xml:space="preserve">Brand-tailored web projects</t>
  </si>
  <si>
    <t xml:space="preserve">Brand-fit-focused builds — Yappaflow's design-DNA approach resonates.</t>
  </si>
  <si>
    <t xml:space="preserve">Dilgeş Yıldız (Yıldız Digital)</t>
  </si>
  <si>
    <t xml:space="preserve">Mersin</t>
  </si>
  <si>
    <t xml:space="preserve">Freelance senior — web/UX/UI/branding</t>
  </si>
  <si>
    <t xml:space="preserve">https://www.linkedin.com/in/dilgesyildiz/</t>
  </si>
  <si>
    <t xml:space="preserve">Senior freelancer (8 yrs) — solo operators feel the build-time pain hardest.</t>
  </si>
  <si>
    <t xml:space="preserve">Reach via LinkedIn DM.</t>
  </si>
  <si>
    <t xml:space="preserve">Priority A — Hot leads — IKAS / Shopify / Webflow partners. Direct CMS-adapter overlap. Reach out first.</t>
  </si>
  <si>
    <t xml:space="preserve">Priority B — Warm leads — General digital agencies that ship many client websites. Strong ICP.</t>
  </si>
  <si>
    <t xml:space="preserve">Priority C — Long tail — Smaller studios, regional agencies, branding shops, senior freelancers.</t>
  </si>
  <si>
    <t xml:space="preserve">Outreach Tracker</t>
  </si>
  <si>
    <t xml:space="preserve">Count</t>
  </si>
  <si>
    <t xml:space="preserve">% of total</t>
  </si>
  <si>
    <t xml:space="preserve">A — Hot</t>
  </si>
  <si>
    <t xml:space="preserve">B — Warm</t>
  </si>
  <si>
    <t xml:space="preserve">C — Long tail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</si>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</sst>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;\-0.0%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5E5"/>
        <bgColor rgb="FFFFF4E5"/>
      </patternFill>
    </fill>
    <fill>
      <patternFill patternType="solid">
        <fgColor rgb="FFFFF4E5"/>
        <bgColor rgb="FFEEEEEE"/>
      </patternFill>
    </fill>
    <fill>
      <patternFill patternType="solid">
        <fgColor rgb="FFEAF4FF"/>
        <bgColor rgb="FFEEEEEE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2874A6"/>
        <bgColor rgb="FF008080"/>
      </patternFill>
    </fill>
    <fill>
      <patternFill patternType="solid">
        <fgColor rgb="FFEEEEEE"/>
        <bgColor rgb="FFEA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4FF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0C0C0"/>
      <rgbColor rgb="FF808080"/>
      <rgbColor rgb="FF9999FF"/>
      <rgbColor rgb="FF993366"/>
      <rgbColor rgb="FFFFF4E5"/>
      <rgbColor rgb="FFEA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D68910"/>
      <rgbColor rgb="FFFF6600"/>
      <rgbColor rgb="FF666699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B6" s="2" t="s">
        <v>7</v>
      </c>
    </row>
    <row r="7" customFormat="false" ht="15" hidden="false" customHeight="false" outlineLevel="0" collapsed="false">
      <c r="B7" s="2" t="s">
        <v>8</v>
      </c>
    </row>
    <row r="8" customFormat="false" ht="15" hidden="false" customHeight="false" outlineLevel="0" collapsed="false">
      <c r="B8" s="2"/>
    </row>
    <row r="9" customFormat="false" ht="23.85" hidden="false" customHeight="false" outlineLevel="0" collapsed="false">
      <c r="A9" s="3" t="s">
        <v>9</v>
      </c>
      <c r="B9" s="2" t="s">
        <v>10</v>
      </c>
    </row>
    <row r="10" customFormat="false" ht="15" hidden="false" customHeight="false" outlineLevel="0" collapsed="false">
      <c r="B10" s="2"/>
    </row>
    <row r="11" customFormat="false" ht="23.85" hidden="false" customHeight="false" outlineLevel="0" collapsed="false">
      <c r="A11" s="3" t="s">
        <v>11</v>
      </c>
      <c r="B11" s="2" t="s">
        <v>12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A13" s="3" t="s">
        <v>13</v>
      </c>
      <c r="B13" s="2"/>
    </row>
    <row r="14" customFormat="false" ht="15" hidden="false" customHeight="false" outlineLevel="0" collapsed="false">
      <c r="A14" s="3" t="s">
        <v>14</v>
      </c>
      <c r="B14" s="2" t="s">
        <v>15</v>
      </c>
    </row>
    <row r="15" customFormat="false" ht="15" hidden="false" customHeight="false" outlineLevel="0" collapsed="false">
      <c r="A15" s="3" t="s">
        <v>16</v>
      </c>
      <c r="B15" s="2" t="s">
        <v>17</v>
      </c>
    </row>
    <row r="16" customFormat="false" ht="15" hidden="false" customHeight="false" outlineLevel="0" collapsed="false">
      <c r="A16" s="3" t="s">
        <v>18</v>
      </c>
      <c r="B16" s="2" t="s">
        <v>19</v>
      </c>
    </row>
    <row r="17" customFormat="false" ht="15" hidden="false" customHeight="false" outlineLevel="0" collapsed="false">
      <c r="A17" s="3" t="s">
        <v>20</v>
      </c>
      <c r="B17" s="2" t="s">
        <v>21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A19" s="3" t="s">
        <v>22</v>
      </c>
      <c r="B19" s="2"/>
    </row>
    <row r="20" customFormat="false" ht="15" hidden="false" customHeight="false" outlineLevel="0" collapsed="false">
      <c r="A20" s="3" t="s">
        <v>23</v>
      </c>
      <c r="B20" s="2" t="s">
        <v>24</v>
      </c>
    </row>
    <row r="21" customFormat="false" ht="15" hidden="false" customHeight="false" outlineLevel="0" collapsed="false">
      <c r="A21" s="3" t="s">
        <v>25</v>
      </c>
      <c r="B21" s="2" t="s">
        <v>26</v>
      </c>
    </row>
    <row r="22" customFormat="false" ht="15" hidden="false" customHeight="false" outlineLevel="0" collapsed="false">
      <c r="A22" s="3" t="s">
        <v>27</v>
      </c>
      <c r="B22" s="2" t="s">
        <v>28</v>
      </c>
    </row>
    <row r="23" customFormat="false" ht="15" hidden="false" customHeight="false" outlineLevel="0" collapsed="false">
      <c r="A23" s="3" t="s">
        <v>29</v>
      </c>
      <c r="B23" s="2" t="s">
        <v>30</v>
      </c>
    </row>
    <row r="24" customFormat="false" ht="15" hidden="false" customHeight="false" outlineLevel="0" collapsed="false">
      <c r="A24" s="3" t="s">
        <v>31</v>
      </c>
      <c r="B24" s="2" t="s">
        <v>32</v>
      </c>
    </row>
    <row r="25" customFormat="false" ht="15" hidden="false" customHeight="false" outlineLevel="0" collapsed="false">
      <c r="A25" s="3" t="s">
        <v>33</v>
      </c>
      <c r="B25" s="2" t="s">
        <v>34</v>
      </c>
    </row>
    <row r="26" customFormat="false" ht="15" hidden="false" customHeight="false" outlineLevel="0" collapsed="false">
      <c r="A26" s="3" t="s">
        <v>35</v>
      </c>
      <c r="B26" s="2" t="s">
        <v>36</v>
      </c>
    </row>
    <row r="27" customFormat="false" ht="15" hidden="false" customHeight="false" outlineLevel="0" collapsed="false">
      <c r="A27" s="0" t="s">
        <v>37</v>
      </c>
      <c r="B27" s="2" t="s">
        <v>38</v>
      </c>
    </row>
    <row r="28" customFormat="false" ht="15" hidden="false" customHeight="false" outlineLevel="0" collapsed="false">
      <c r="A28" s="3"/>
      <c r="B28" s="2"/>
    </row>
    <row r="29" customFormat="false" ht="23.85" hidden="false" customHeight="false" outlineLevel="0" collapsed="false">
      <c r="A29" s="0" t="s">
        <v>39</v>
      </c>
      <c r="B29" s="2" t="s">
        <v>40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8"/>
    <col collapsed="false" customWidth="true" hidden="false" outlineLevel="0" max="11" min="11" style="0" width="60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31.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</row>
    <row r="2" customFormat="false" ht="49.5" hidden="false" customHeight="true" outlineLevel="0" collapsed="false">
      <c r="A2" s="5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61</v>
      </c>
      <c r="H2" s="6"/>
      <c r="I2" s="6"/>
      <c r="J2" s="6" t="s">
        <v>62</v>
      </c>
      <c r="K2" s="6" t="s">
        <v>63</v>
      </c>
      <c r="L2" s="6" t="s">
        <v>64</v>
      </c>
      <c r="M2" s="6" t="s">
        <v>23</v>
      </c>
      <c r="N2" s="6" t="s">
        <v>65</v>
      </c>
    </row>
    <row r="3" customFormat="false" ht="49.5" hidden="false" customHeight="true" outlineLevel="0" collapsed="false">
      <c r="A3" s="5" t="s">
        <v>55</v>
      </c>
      <c r="B3" s="6" t="s">
        <v>66</v>
      </c>
      <c r="C3" s="6" t="s">
        <v>67</v>
      </c>
      <c r="D3" s="6" t="s">
        <v>58</v>
      </c>
      <c r="E3" s="6" t="s">
        <v>68</v>
      </c>
      <c r="F3" s="6" t="s">
        <v>69</v>
      </c>
      <c r="G3" s="6" t="s">
        <v>70</v>
      </c>
      <c r="H3" s="6"/>
      <c r="I3" s="6"/>
      <c r="J3" s="6"/>
      <c r="K3" s="6" t="s">
        <v>71</v>
      </c>
      <c r="L3" s="6" t="s">
        <v>72</v>
      </c>
      <c r="M3" s="6" t="s">
        <v>23</v>
      </c>
      <c r="N3" s="6"/>
    </row>
    <row r="4" customFormat="false" ht="49.5" hidden="false" customHeight="true" outlineLevel="0" collapsed="false">
      <c r="A4" s="5" t="s">
        <v>55</v>
      </c>
      <c r="B4" s="6" t="s">
        <v>73</v>
      </c>
      <c r="C4" s="6" t="s">
        <v>58</v>
      </c>
      <c r="D4" s="6" t="s">
        <v>58</v>
      </c>
      <c r="E4" s="6" t="s">
        <v>74</v>
      </c>
      <c r="F4" s="6" t="s">
        <v>69</v>
      </c>
      <c r="G4" s="6" t="s">
        <v>75</v>
      </c>
      <c r="H4" s="6"/>
      <c r="I4" s="6"/>
      <c r="J4" s="6"/>
      <c r="K4" s="6" t="s">
        <v>76</v>
      </c>
      <c r="L4" s="6" t="s">
        <v>77</v>
      </c>
      <c r="M4" s="6" t="s">
        <v>23</v>
      </c>
      <c r="N4" s="6"/>
    </row>
    <row r="5" customFormat="false" ht="49.5" hidden="false" customHeight="true" outlineLevel="0" collapsed="false">
      <c r="A5" s="5" t="s">
        <v>55</v>
      </c>
      <c r="B5" s="6" t="s">
        <v>78</v>
      </c>
      <c r="C5" s="6" t="s">
        <v>58</v>
      </c>
      <c r="D5" s="6" t="s">
        <v>58</v>
      </c>
      <c r="E5" s="6" t="s">
        <v>79</v>
      </c>
      <c r="F5" s="6" t="s">
        <v>69</v>
      </c>
      <c r="G5" s="6"/>
      <c r="H5" s="6"/>
      <c r="I5" s="6"/>
      <c r="J5" s="6"/>
      <c r="K5" s="6" t="s">
        <v>80</v>
      </c>
      <c r="L5" s="6" t="s">
        <v>81</v>
      </c>
      <c r="M5" s="6" t="s">
        <v>23</v>
      </c>
      <c r="N5" s="6" t="s">
        <v>82</v>
      </c>
    </row>
    <row r="6" customFormat="false" ht="49.5" hidden="false" customHeight="true" outlineLevel="0" collapsed="false">
      <c r="A6" s="5" t="s">
        <v>55</v>
      </c>
      <c r="B6" s="6" t="s">
        <v>83</v>
      </c>
      <c r="C6" s="6" t="s">
        <v>58</v>
      </c>
      <c r="D6" s="6" t="s">
        <v>58</v>
      </c>
      <c r="E6" s="6" t="s">
        <v>84</v>
      </c>
      <c r="F6" s="6" t="s">
        <v>60</v>
      </c>
      <c r="G6" s="6"/>
      <c r="H6" s="6"/>
      <c r="I6" s="6"/>
      <c r="J6" s="6"/>
      <c r="K6" s="6" t="s">
        <v>85</v>
      </c>
      <c r="L6" s="6" t="s">
        <v>81</v>
      </c>
      <c r="M6" s="6" t="s">
        <v>23</v>
      </c>
      <c r="N6" s="6"/>
    </row>
    <row r="7" customFormat="false" ht="49.5" hidden="false" customHeight="true" outlineLevel="0" collapsed="false">
      <c r="A7" s="5" t="s">
        <v>55</v>
      </c>
      <c r="B7" s="6" t="s">
        <v>86</v>
      </c>
      <c r="C7" s="6" t="s">
        <v>67</v>
      </c>
      <c r="D7" s="6" t="s">
        <v>58</v>
      </c>
      <c r="E7" s="6" t="s">
        <v>87</v>
      </c>
      <c r="F7" s="6" t="s">
        <v>88</v>
      </c>
      <c r="G7" s="6" t="s">
        <v>89</v>
      </c>
      <c r="H7" s="6"/>
      <c r="I7" s="6"/>
      <c r="J7" s="6"/>
      <c r="K7" s="6" t="s">
        <v>90</v>
      </c>
      <c r="L7" s="6" t="s">
        <v>91</v>
      </c>
      <c r="M7" s="6" t="s">
        <v>23</v>
      </c>
      <c r="N7" s="6"/>
    </row>
    <row r="8" customFormat="false" ht="49.5" hidden="false" customHeight="true" outlineLevel="0" collapsed="false">
      <c r="A8" s="5" t="s">
        <v>55</v>
      </c>
      <c r="B8" s="6" t="s">
        <v>92</v>
      </c>
      <c r="C8" s="6" t="s">
        <v>67</v>
      </c>
      <c r="D8" s="6" t="s">
        <v>58</v>
      </c>
      <c r="E8" s="6" t="s">
        <v>93</v>
      </c>
      <c r="F8" s="6" t="s">
        <v>94</v>
      </c>
      <c r="G8" s="6" t="s">
        <v>95</v>
      </c>
      <c r="H8" s="6"/>
      <c r="I8" s="6"/>
      <c r="J8" s="6"/>
      <c r="K8" s="6" t="s">
        <v>96</v>
      </c>
      <c r="L8" s="6" t="s">
        <v>91</v>
      </c>
      <c r="M8" s="6" t="s">
        <v>23</v>
      </c>
      <c r="N8" s="6"/>
    </row>
    <row r="9" customFormat="false" ht="49.5" hidden="false" customHeight="true" outlineLevel="0" collapsed="false">
      <c r="A9" s="5" t="s">
        <v>55</v>
      </c>
      <c r="B9" s="6" t="s">
        <v>97</v>
      </c>
      <c r="C9" s="6" t="s">
        <v>58</v>
      </c>
      <c r="D9" s="6" t="s">
        <v>58</v>
      </c>
      <c r="E9" s="6" t="s">
        <v>98</v>
      </c>
      <c r="F9" s="6" t="s">
        <v>99</v>
      </c>
      <c r="G9" s="6" t="s">
        <v>100</v>
      </c>
      <c r="H9" s="6"/>
      <c r="I9" s="6"/>
      <c r="J9" s="6"/>
      <c r="K9" s="6" t="s">
        <v>101</v>
      </c>
      <c r="L9" s="6" t="s">
        <v>102</v>
      </c>
      <c r="M9" s="6" t="s">
        <v>23</v>
      </c>
      <c r="N9" s="6"/>
    </row>
    <row r="10" customFormat="false" ht="49.5" hidden="false" customHeight="true" outlineLevel="0" collapsed="false">
      <c r="A10" s="5" t="s">
        <v>55</v>
      </c>
      <c r="B10" s="6" t="s">
        <v>103</v>
      </c>
      <c r="C10" s="6" t="s">
        <v>67</v>
      </c>
      <c r="D10" s="6" t="s">
        <v>58</v>
      </c>
      <c r="E10" s="6" t="s">
        <v>104</v>
      </c>
      <c r="F10" s="6" t="s">
        <v>88</v>
      </c>
      <c r="G10" s="6" t="s">
        <v>105</v>
      </c>
      <c r="H10" s="6"/>
      <c r="I10" s="6"/>
      <c r="J10" s="6"/>
      <c r="K10" s="6" t="s">
        <v>106</v>
      </c>
      <c r="L10" s="6" t="s">
        <v>107</v>
      </c>
      <c r="M10" s="6" t="s">
        <v>23</v>
      </c>
      <c r="N10" s="6"/>
    </row>
    <row r="11" customFormat="false" ht="49.5" hidden="false" customHeight="true" outlineLevel="0" collapsed="false">
      <c r="A11" s="5" t="s">
        <v>55</v>
      </c>
      <c r="B11" s="6" t="s">
        <v>108</v>
      </c>
      <c r="C11" s="6" t="s">
        <v>58</v>
      </c>
      <c r="D11" s="6" t="s">
        <v>58</v>
      </c>
      <c r="E11" s="6" t="s">
        <v>109</v>
      </c>
      <c r="F11" s="6" t="s">
        <v>99</v>
      </c>
      <c r="G11" s="6"/>
      <c r="H11" s="6"/>
      <c r="I11" s="6"/>
      <c r="J11" s="6" t="s">
        <v>110</v>
      </c>
      <c r="K11" s="6" t="s">
        <v>111</v>
      </c>
      <c r="L11" s="6" t="s">
        <v>112</v>
      </c>
      <c r="M11" s="6" t="s">
        <v>23</v>
      </c>
      <c r="N11" s="6" t="s">
        <v>113</v>
      </c>
    </row>
    <row r="12" customFormat="false" ht="49.5" hidden="false" customHeight="true" outlineLevel="0" collapsed="false">
      <c r="A12" s="5" t="s">
        <v>55</v>
      </c>
      <c r="B12" s="6" t="s">
        <v>114</v>
      </c>
      <c r="C12" s="6" t="s">
        <v>67</v>
      </c>
      <c r="D12" s="6" t="s">
        <v>58</v>
      </c>
      <c r="E12" s="6" t="s">
        <v>115</v>
      </c>
      <c r="F12" s="6" t="s">
        <v>88</v>
      </c>
      <c r="G12" s="6" t="s">
        <v>116</v>
      </c>
      <c r="H12" s="6"/>
      <c r="I12" s="6"/>
      <c r="J12" s="6"/>
      <c r="K12" s="6" t="s">
        <v>117</v>
      </c>
      <c r="L12" s="6" t="s">
        <v>118</v>
      </c>
      <c r="M12" s="6" t="s">
        <v>23</v>
      </c>
      <c r="N12" s="6"/>
    </row>
    <row r="13" customFormat="false" ht="49.5" hidden="false" customHeight="true" outlineLevel="0" collapsed="false">
      <c r="A13" s="5" t="s">
        <v>55</v>
      </c>
      <c r="B13" s="6" t="s">
        <v>119</v>
      </c>
      <c r="C13" s="6" t="s">
        <v>67</v>
      </c>
      <c r="D13" s="6" t="s">
        <v>58</v>
      </c>
      <c r="E13" s="6" t="s">
        <v>120</v>
      </c>
      <c r="F13" s="6" t="s">
        <v>121</v>
      </c>
      <c r="G13" s="6" t="s">
        <v>122</v>
      </c>
      <c r="H13" s="6"/>
      <c r="I13" s="6"/>
      <c r="J13" s="6"/>
      <c r="K13" s="6" t="s">
        <v>123</v>
      </c>
      <c r="L13" s="6" t="s">
        <v>124</v>
      </c>
      <c r="M13" s="6" t="s">
        <v>23</v>
      </c>
      <c r="N13" s="6"/>
    </row>
    <row r="14" customFormat="false" ht="49.5" hidden="false" customHeight="true" outlineLevel="0" collapsed="false">
      <c r="A14" s="5" t="s">
        <v>55</v>
      </c>
      <c r="B14" s="6" t="s">
        <v>125</v>
      </c>
      <c r="C14" s="6" t="s">
        <v>58</v>
      </c>
      <c r="D14" s="6" t="s">
        <v>58</v>
      </c>
      <c r="E14" s="6" t="s">
        <v>126</v>
      </c>
      <c r="F14" s="6" t="s">
        <v>127</v>
      </c>
      <c r="G14" s="6" t="s">
        <v>128</v>
      </c>
      <c r="H14" s="6"/>
      <c r="I14" s="6"/>
      <c r="J14" s="6"/>
      <c r="K14" s="6" t="s">
        <v>129</v>
      </c>
      <c r="L14" s="6" t="s">
        <v>130</v>
      </c>
      <c r="M14" s="6" t="s">
        <v>23</v>
      </c>
      <c r="N14" s="6" t="s">
        <v>131</v>
      </c>
    </row>
    <row r="15" customFormat="false" ht="49.5" hidden="false" customHeight="true" outlineLevel="0" collapsed="false">
      <c r="A15" s="7" t="s">
        <v>132</v>
      </c>
      <c r="B15" s="6" t="s">
        <v>133</v>
      </c>
      <c r="C15" s="6" t="s">
        <v>134</v>
      </c>
      <c r="D15" s="6" t="s">
        <v>58</v>
      </c>
      <c r="E15" s="6" t="s">
        <v>135</v>
      </c>
      <c r="F15" s="6" t="s">
        <v>136</v>
      </c>
      <c r="G15" s="6" t="s">
        <v>137</v>
      </c>
      <c r="H15" s="6"/>
      <c r="I15" s="6" t="s">
        <v>138</v>
      </c>
      <c r="J15" s="6" t="s">
        <v>139</v>
      </c>
      <c r="K15" s="6" t="s">
        <v>140</v>
      </c>
      <c r="L15" s="6" t="s">
        <v>141</v>
      </c>
      <c r="M15" s="6" t="s">
        <v>23</v>
      </c>
      <c r="N15" s="6" t="s">
        <v>142</v>
      </c>
    </row>
    <row r="16" customFormat="false" ht="49.5" hidden="false" customHeight="true" outlineLevel="0" collapsed="false">
      <c r="A16" s="7" t="s">
        <v>132</v>
      </c>
      <c r="B16" s="6" t="s">
        <v>143</v>
      </c>
      <c r="C16" s="6" t="s">
        <v>67</v>
      </c>
      <c r="D16" s="6" t="s">
        <v>58</v>
      </c>
      <c r="E16" s="6" t="s">
        <v>144</v>
      </c>
      <c r="F16" s="6" t="s">
        <v>136</v>
      </c>
      <c r="G16" s="6" t="s">
        <v>145</v>
      </c>
      <c r="H16" s="6"/>
      <c r="I16" s="6"/>
      <c r="J16" s="6" t="s">
        <v>146</v>
      </c>
      <c r="K16" s="6" t="s">
        <v>147</v>
      </c>
      <c r="L16" s="6" t="s">
        <v>148</v>
      </c>
      <c r="M16" s="6" t="s">
        <v>23</v>
      </c>
      <c r="N16" s="6"/>
    </row>
    <row r="17" customFormat="false" ht="49.5" hidden="false" customHeight="true" outlineLevel="0" collapsed="false">
      <c r="A17" s="7" t="s">
        <v>132</v>
      </c>
      <c r="B17" s="6" t="s">
        <v>149</v>
      </c>
      <c r="C17" s="6" t="s">
        <v>67</v>
      </c>
      <c r="D17" s="6" t="s">
        <v>58</v>
      </c>
      <c r="E17" s="6" t="s">
        <v>150</v>
      </c>
      <c r="F17" s="6" t="s">
        <v>151</v>
      </c>
      <c r="G17" s="6" t="s">
        <v>152</v>
      </c>
      <c r="H17" s="6"/>
      <c r="I17" s="6"/>
      <c r="J17" s="6"/>
      <c r="K17" s="6" t="s">
        <v>153</v>
      </c>
      <c r="L17" s="6" t="s">
        <v>154</v>
      </c>
      <c r="M17" s="6" t="s">
        <v>23</v>
      </c>
      <c r="N17" s="6"/>
    </row>
    <row r="18" customFormat="false" ht="49.5" hidden="false" customHeight="true" outlineLevel="0" collapsed="false">
      <c r="A18" s="7" t="s">
        <v>132</v>
      </c>
      <c r="B18" s="6" t="s">
        <v>155</v>
      </c>
      <c r="C18" s="6" t="s">
        <v>67</v>
      </c>
      <c r="D18" s="6" t="s">
        <v>58</v>
      </c>
      <c r="E18" s="6" t="s">
        <v>156</v>
      </c>
      <c r="F18" s="6" t="s">
        <v>157</v>
      </c>
      <c r="G18" s="6"/>
      <c r="H18" s="6"/>
      <c r="I18" s="6"/>
      <c r="J18" s="6"/>
      <c r="K18" s="6" t="s">
        <v>158</v>
      </c>
      <c r="L18" s="6" t="s">
        <v>159</v>
      </c>
      <c r="M18" s="6" t="s">
        <v>23</v>
      </c>
      <c r="N18" s="6"/>
    </row>
    <row r="19" customFormat="false" ht="49.5" hidden="false" customHeight="true" outlineLevel="0" collapsed="false">
      <c r="A19" s="7" t="s">
        <v>132</v>
      </c>
      <c r="B19" s="6" t="s">
        <v>160</v>
      </c>
      <c r="C19" s="6" t="s">
        <v>67</v>
      </c>
      <c r="D19" s="6" t="s">
        <v>58</v>
      </c>
      <c r="E19" s="6" t="s">
        <v>161</v>
      </c>
      <c r="F19" s="6" t="s">
        <v>151</v>
      </c>
      <c r="G19" s="6"/>
      <c r="H19" s="6"/>
      <c r="I19" s="6"/>
      <c r="J19" s="6"/>
      <c r="K19" s="6" t="s">
        <v>162</v>
      </c>
      <c r="L19" s="6" t="s">
        <v>163</v>
      </c>
      <c r="M19" s="6" t="s">
        <v>23</v>
      </c>
      <c r="N19" s="6"/>
    </row>
    <row r="20" customFormat="false" ht="49.5" hidden="false" customHeight="true" outlineLevel="0" collapsed="false">
      <c r="A20" s="7" t="s">
        <v>132</v>
      </c>
      <c r="B20" s="6" t="s">
        <v>164</v>
      </c>
      <c r="C20" s="6" t="s">
        <v>58</v>
      </c>
      <c r="D20" s="6" t="s">
        <v>58</v>
      </c>
      <c r="E20" s="6" t="s">
        <v>165</v>
      </c>
      <c r="F20" s="6" t="s">
        <v>151</v>
      </c>
      <c r="G20" s="6"/>
      <c r="H20" s="6"/>
      <c r="I20" s="6"/>
      <c r="J20" s="6"/>
      <c r="K20" s="6" t="s">
        <v>166</v>
      </c>
      <c r="L20" s="6" t="s">
        <v>167</v>
      </c>
      <c r="M20" s="6" t="s">
        <v>23</v>
      </c>
      <c r="N20" s="6" t="s">
        <v>168</v>
      </c>
    </row>
    <row r="21" customFormat="false" ht="49.5" hidden="false" customHeight="true" outlineLevel="0" collapsed="false">
      <c r="A21" s="7" t="s">
        <v>132</v>
      </c>
      <c r="B21" s="6" t="s">
        <v>169</v>
      </c>
      <c r="C21" s="6" t="s">
        <v>67</v>
      </c>
      <c r="D21" s="6" t="s">
        <v>58</v>
      </c>
      <c r="E21" s="6" t="s">
        <v>170</v>
      </c>
      <c r="F21" s="6" t="s">
        <v>151</v>
      </c>
      <c r="G21" s="6"/>
      <c r="H21" s="6"/>
      <c r="I21" s="6"/>
      <c r="J21" s="6"/>
      <c r="K21" s="6" t="s">
        <v>171</v>
      </c>
      <c r="L21" s="6" t="s">
        <v>167</v>
      </c>
      <c r="M21" s="6" t="s">
        <v>23</v>
      </c>
      <c r="N21" s="6"/>
    </row>
    <row r="22" customFormat="false" ht="49.5" hidden="false" customHeight="true" outlineLevel="0" collapsed="false">
      <c r="A22" s="7" t="s">
        <v>132</v>
      </c>
      <c r="B22" s="6" t="s">
        <v>172</v>
      </c>
      <c r="C22" s="6" t="s">
        <v>58</v>
      </c>
      <c r="D22" s="6" t="s">
        <v>58</v>
      </c>
      <c r="E22" s="6" t="s">
        <v>173</v>
      </c>
      <c r="F22" s="6" t="s">
        <v>151</v>
      </c>
      <c r="G22" s="6"/>
      <c r="H22" s="6"/>
      <c r="I22" s="6"/>
      <c r="J22" s="6"/>
      <c r="K22" s="6" t="s">
        <v>174</v>
      </c>
      <c r="L22" s="6" t="s">
        <v>175</v>
      </c>
      <c r="M22" s="6" t="s">
        <v>23</v>
      </c>
      <c r="N22" s="6"/>
    </row>
    <row r="23" customFormat="false" ht="49.5" hidden="false" customHeight="true" outlineLevel="0" collapsed="false">
      <c r="A23" s="7" t="s">
        <v>132</v>
      </c>
      <c r="B23" s="6" t="s">
        <v>176</v>
      </c>
      <c r="C23" s="6" t="s">
        <v>67</v>
      </c>
      <c r="D23" s="6" t="s">
        <v>58</v>
      </c>
      <c r="E23" s="6" t="s">
        <v>177</v>
      </c>
      <c r="F23" s="6" t="s">
        <v>151</v>
      </c>
      <c r="G23" s="6" t="s">
        <v>178</v>
      </c>
      <c r="H23" s="6"/>
      <c r="I23" s="6"/>
      <c r="J23" s="6"/>
      <c r="K23" s="6" t="s">
        <v>179</v>
      </c>
      <c r="L23" s="6" t="s">
        <v>175</v>
      </c>
      <c r="M23" s="6" t="s">
        <v>23</v>
      </c>
      <c r="N23" s="6" t="s">
        <v>180</v>
      </c>
    </row>
    <row r="24" customFormat="false" ht="49.5" hidden="false" customHeight="true" outlineLevel="0" collapsed="false">
      <c r="A24" s="7" t="s">
        <v>132</v>
      </c>
      <c r="B24" s="6" t="s">
        <v>181</v>
      </c>
      <c r="C24" s="6" t="s">
        <v>67</v>
      </c>
      <c r="D24" s="6" t="s">
        <v>58</v>
      </c>
      <c r="E24" s="6" t="s">
        <v>182</v>
      </c>
      <c r="F24" s="6" t="s">
        <v>151</v>
      </c>
      <c r="G24" s="6"/>
      <c r="H24" s="6"/>
      <c r="I24" s="6"/>
      <c r="J24" s="6"/>
      <c r="K24" s="6" t="s">
        <v>183</v>
      </c>
      <c r="L24" s="6" t="s">
        <v>184</v>
      </c>
      <c r="M24" s="6" t="s">
        <v>23</v>
      </c>
      <c r="N24" s="6"/>
    </row>
    <row r="25" customFormat="false" ht="49.5" hidden="false" customHeight="true" outlineLevel="0" collapsed="false">
      <c r="A25" s="7" t="s">
        <v>132</v>
      </c>
      <c r="B25" s="6" t="s">
        <v>185</v>
      </c>
      <c r="C25" s="6" t="s">
        <v>67</v>
      </c>
      <c r="D25" s="6" t="s">
        <v>58</v>
      </c>
      <c r="E25" s="6" t="s">
        <v>186</v>
      </c>
      <c r="F25" s="6" t="s">
        <v>151</v>
      </c>
      <c r="G25" s="6"/>
      <c r="H25" s="6"/>
      <c r="I25" s="6"/>
      <c r="J25" s="6"/>
      <c r="K25" s="6" t="s">
        <v>187</v>
      </c>
      <c r="L25" s="6" t="s">
        <v>184</v>
      </c>
      <c r="M25" s="6" t="s">
        <v>23</v>
      </c>
      <c r="N25" s="6"/>
    </row>
    <row r="26" customFormat="false" ht="49.5" hidden="false" customHeight="true" outlineLevel="0" collapsed="false">
      <c r="A26" s="7" t="s">
        <v>132</v>
      </c>
      <c r="B26" s="6" t="s">
        <v>188</v>
      </c>
      <c r="C26" s="6" t="s">
        <v>67</v>
      </c>
      <c r="D26" s="6" t="s">
        <v>58</v>
      </c>
      <c r="E26" s="6" t="s">
        <v>189</v>
      </c>
      <c r="F26" s="6" t="s">
        <v>151</v>
      </c>
      <c r="G26" s="6" t="s">
        <v>190</v>
      </c>
      <c r="H26" s="6"/>
      <c r="I26" s="6"/>
      <c r="J26" s="6"/>
      <c r="K26" s="6" t="s">
        <v>191</v>
      </c>
      <c r="L26" s="6" t="s">
        <v>192</v>
      </c>
      <c r="M26" s="6" t="s">
        <v>23</v>
      </c>
      <c r="N26" s="6"/>
    </row>
    <row r="27" customFormat="false" ht="49.5" hidden="false" customHeight="true" outlineLevel="0" collapsed="false">
      <c r="A27" s="7" t="s">
        <v>132</v>
      </c>
      <c r="B27" s="6" t="s">
        <v>193</v>
      </c>
      <c r="C27" s="6" t="s">
        <v>67</v>
      </c>
      <c r="D27" s="6" t="s">
        <v>58</v>
      </c>
      <c r="E27" s="6" t="s">
        <v>194</v>
      </c>
      <c r="F27" s="6" t="s">
        <v>136</v>
      </c>
      <c r="G27" s="6" t="s">
        <v>195</v>
      </c>
      <c r="H27" s="6"/>
      <c r="I27" s="6"/>
      <c r="J27" s="6"/>
      <c r="K27" s="6" t="s">
        <v>196</v>
      </c>
      <c r="L27" s="6" t="s">
        <v>197</v>
      </c>
      <c r="M27" s="6" t="s">
        <v>23</v>
      </c>
      <c r="N27" s="6"/>
    </row>
    <row r="28" customFormat="false" ht="49.5" hidden="false" customHeight="true" outlineLevel="0" collapsed="false">
      <c r="A28" s="7" t="s">
        <v>132</v>
      </c>
      <c r="B28" s="6" t="s">
        <v>198</v>
      </c>
      <c r="C28" s="6" t="s">
        <v>67</v>
      </c>
      <c r="D28" s="6" t="s">
        <v>58</v>
      </c>
      <c r="E28" s="6" t="s">
        <v>199</v>
      </c>
      <c r="F28" s="6" t="s">
        <v>151</v>
      </c>
      <c r="G28" s="6"/>
      <c r="H28" s="6"/>
      <c r="I28" s="6"/>
      <c r="J28" s="6"/>
      <c r="K28" s="6" t="s">
        <v>200</v>
      </c>
      <c r="L28" s="6" t="s">
        <v>201</v>
      </c>
      <c r="M28" s="6" t="s">
        <v>23</v>
      </c>
      <c r="N28" s="6"/>
    </row>
    <row r="29" customFormat="false" ht="49.5" hidden="false" customHeight="true" outlineLevel="0" collapsed="false">
      <c r="A29" s="7" t="s">
        <v>132</v>
      </c>
      <c r="B29" s="6" t="s">
        <v>202</v>
      </c>
      <c r="C29" s="6" t="s">
        <v>67</v>
      </c>
      <c r="D29" s="6" t="s">
        <v>58</v>
      </c>
      <c r="E29" s="6" t="s">
        <v>203</v>
      </c>
      <c r="F29" s="6" t="s">
        <v>151</v>
      </c>
      <c r="G29" s="6" t="s">
        <v>204</v>
      </c>
      <c r="H29" s="6"/>
      <c r="I29" s="6"/>
      <c r="J29" s="6"/>
      <c r="K29" s="6" t="s">
        <v>205</v>
      </c>
      <c r="L29" s="6" t="s">
        <v>206</v>
      </c>
      <c r="M29" s="6" t="s">
        <v>23</v>
      </c>
      <c r="N29" s="6"/>
    </row>
    <row r="30" customFormat="false" ht="49.5" hidden="false" customHeight="true" outlineLevel="0" collapsed="false">
      <c r="A30" s="7" t="s">
        <v>132</v>
      </c>
      <c r="B30" s="6" t="s">
        <v>207</v>
      </c>
      <c r="C30" s="6" t="s">
        <v>67</v>
      </c>
      <c r="D30" s="6" t="s">
        <v>58</v>
      </c>
      <c r="E30" s="6" t="s">
        <v>208</v>
      </c>
      <c r="F30" s="6" t="s">
        <v>209</v>
      </c>
      <c r="G30" s="6" t="s">
        <v>210</v>
      </c>
      <c r="H30" s="6"/>
      <c r="I30" s="6"/>
      <c r="J30" s="6"/>
      <c r="K30" s="6" t="s">
        <v>211</v>
      </c>
      <c r="L30" s="6" t="s">
        <v>212</v>
      </c>
      <c r="M30" s="6" t="s">
        <v>23</v>
      </c>
      <c r="N30" s="6" t="s">
        <v>213</v>
      </c>
    </row>
    <row r="31" customFormat="false" ht="49.5" hidden="false" customHeight="true" outlineLevel="0" collapsed="false">
      <c r="A31" s="8" t="s">
        <v>214</v>
      </c>
      <c r="B31" s="6" t="s">
        <v>215</v>
      </c>
      <c r="C31" s="6" t="s">
        <v>67</v>
      </c>
      <c r="D31" s="6" t="s">
        <v>58</v>
      </c>
      <c r="E31" s="6" t="s">
        <v>216</v>
      </c>
      <c r="F31" s="6" t="s">
        <v>136</v>
      </c>
      <c r="G31" s="6" t="s">
        <v>217</v>
      </c>
      <c r="H31" s="6" t="s">
        <v>218</v>
      </c>
      <c r="I31" s="6" t="s">
        <v>219</v>
      </c>
      <c r="J31" s="6"/>
      <c r="K31" s="6" t="s">
        <v>220</v>
      </c>
      <c r="L31" s="6" t="s">
        <v>221</v>
      </c>
      <c r="M31" s="6" t="s">
        <v>23</v>
      </c>
      <c r="N31" s="6" t="s">
        <v>222</v>
      </c>
    </row>
    <row r="32" customFormat="false" ht="49.5" hidden="false" customHeight="true" outlineLevel="0" collapsed="false">
      <c r="A32" s="8" t="s">
        <v>214</v>
      </c>
      <c r="B32" s="6" t="s">
        <v>223</v>
      </c>
      <c r="C32" s="6" t="s">
        <v>224</v>
      </c>
      <c r="D32" s="6" t="s">
        <v>58</v>
      </c>
      <c r="E32" s="6" t="s">
        <v>225</v>
      </c>
      <c r="F32" s="6" t="s">
        <v>151</v>
      </c>
      <c r="G32" s="6" t="s">
        <v>226</v>
      </c>
      <c r="H32" s="6" t="s">
        <v>227</v>
      </c>
      <c r="I32" s="6" t="s">
        <v>228</v>
      </c>
      <c r="J32" s="6"/>
      <c r="K32" s="6" t="s">
        <v>229</v>
      </c>
      <c r="L32" s="6" t="s">
        <v>230</v>
      </c>
      <c r="M32" s="6" t="s">
        <v>23</v>
      </c>
      <c r="N32" s="6" t="s">
        <v>231</v>
      </c>
    </row>
    <row r="33" customFormat="false" ht="49.5" hidden="false" customHeight="true" outlineLevel="0" collapsed="false">
      <c r="A33" s="8" t="s">
        <v>214</v>
      </c>
      <c r="B33" s="6" t="s">
        <v>232</v>
      </c>
      <c r="C33" s="6" t="s">
        <v>233</v>
      </c>
      <c r="D33" s="6" t="s">
        <v>58</v>
      </c>
      <c r="E33" s="6" t="s">
        <v>234</v>
      </c>
      <c r="F33" s="6" t="s">
        <v>151</v>
      </c>
      <c r="G33" s="6" t="s">
        <v>235</v>
      </c>
      <c r="H33" s="6"/>
      <c r="I33" s="6" t="s">
        <v>236</v>
      </c>
      <c r="J33" s="6"/>
      <c r="K33" s="6" t="s">
        <v>237</v>
      </c>
      <c r="L33" s="6" t="s">
        <v>238</v>
      </c>
      <c r="M33" s="6" t="s">
        <v>23</v>
      </c>
      <c r="N33" s="6" t="s">
        <v>239</v>
      </c>
    </row>
    <row r="34" customFormat="false" ht="49.5" hidden="false" customHeight="true" outlineLevel="0" collapsed="false">
      <c r="A34" s="8" t="s">
        <v>214</v>
      </c>
      <c r="B34" s="6" t="s">
        <v>240</v>
      </c>
      <c r="C34" s="6" t="s">
        <v>241</v>
      </c>
      <c r="D34" s="6" t="s">
        <v>58</v>
      </c>
      <c r="E34" s="6" t="s">
        <v>242</v>
      </c>
      <c r="F34" s="6" t="s">
        <v>151</v>
      </c>
      <c r="G34" s="6" t="s">
        <v>243</v>
      </c>
      <c r="H34" s="6"/>
      <c r="I34" s="6"/>
      <c r="J34" s="6"/>
      <c r="K34" s="6" t="s">
        <v>244</v>
      </c>
      <c r="L34" s="6" t="s">
        <v>245</v>
      </c>
      <c r="M34" s="6" t="s">
        <v>23</v>
      </c>
      <c r="N34" s="6"/>
    </row>
    <row r="35" customFormat="false" ht="49.5" hidden="false" customHeight="true" outlineLevel="0" collapsed="false">
      <c r="A35" s="8" t="s">
        <v>214</v>
      </c>
      <c r="B35" s="6" t="s">
        <v>246</v>
      </c>
      <c r="C35" s="6" t="s">
        <v>233</v>
      </c>
      <c r="D35" s="6" t="s">
        <v>58</v>
      </c>
      <c r="E35" s="6" t="s">
        <v>234</v>
      </c>
      <c r="F35" s="6" t="s">
        <v>151</v>
      </c>
      <c r="G35" s="6" t="s">
        <v>247</v>
      </c>
      <c r="H35" s="6"/>
      <c r="I35" s="6" t="s">
        <v>248</v>
      </c>
      <c r="J35" s="6"/>
      <c r="K35" s="6" t="s">
        <v>249</v>
      </c>
      <c r="L35" s="6" t="s">
        <v>250</v>
      </c>
      <c r="M35" s="6" t="s">
        <v>23</v>
      </c>
      <c r="N35" s="6"/>
    </row>
    <row r="36" customFormat="false" ht="49.5" hidden="false" customHeight="true" outlineLevel="0" collapsed="false">
      <c r="A36" s="8" t="s">
        <v>214</v>
      </c>
      <c r="B36" s="6" t="s">
        <v>251</v>
      </c>
      <c r="C36" s="6" t="s">
        <v>252</v>
      </c>
      <c r="D36" s="6" t="s">
        <v>58</v>
      </c>
      <c r="E36" s="6" t="s">
        <v>253</v>
      </c>
      <c r="F36" s="6" t="s">
        <v>151</v>
      </c>
      <c r="G36" s="6" t="s">
        <v>254</v>
      </c>
      <c r="H36" s="6"/>
      <c r="I36" s="6"/>
      <c r="J36" s="6"/>
      <c r="K36" s="6" t="s">
        <v>255</v>
      </c>
      <c r="L36" s="6" t="s">
        <v>256</v>
      </c>
      <c r="M36" s="6" t="s">
        <v>23</v>
      </c>
      <c r="N36" s="6"/>
    </row>
    <row r="37" customFormat="false" ht="49.5" hidden="false" customHeight="true" outlineLevel="0" collapsed="false">
      <c r="A37" s="8" t="s">
        <v>214</v>
      </c>
      <c r="B37" s="6" t="s">
        <v>257</v>
      </c>
      <c r="C37" s="6" t="s">
        <v>67</v>
      </c>
      <c r="D37" s="6" t="s">
        <v>58</v>
      </c>
      <c r="E37" s="6" t="s">
        <v>253</v>
      </c>
      <c r="F37" s="6" t="s">
        <v>151</v>
      </c>
      <c r="G37" s="6" t="s">
        <v>258</v>
      </c>
      <c r="H37" s="6"/>
      <c r="I37" s="6"/>
      <c r="J37" s="6"/>
      <c r="K37" s="6" t="s">
        <v>259</v>
      </c>
      <c r="L37" s="6" t="s">
        <v>260</v>
      </c>
      <c r="M37" s="6" t="s">
        <v>23</v>
      </c>
      <c r="N37" s="6"/>
    </row>
    <row r="38" customFormat="false" ht="49.5" hidden="false" customHeight="true" outlineLevel="0" collapsed="false">
      <c r="A38" s="8" t="s">
        <v>214</v>
      </c>
      <c r="B38" s="6" t="s">
        <v>261</v>
      </c>
      <c r="C38" s="6" t="s">
        <v>58</v>
      </c>
      <c r="D38" s="6" t="s">
        <v>58</v>
      </c>
      <c r="E38" s="6" t="s">
        <v>253</v>
      </c>
      <c r="F38" s="6" t="s">
        <v>151</v>
      </c>
      <c r="G38" s="6" t="s">
        <v>262</v>
      </c>
      <c r="H38" s="6"/>
      <c r="I38" s="6"/>
      <c r="J38" s="6"/>
      <c r="K38" s="6" t="s">
        <v>263</v>
      </c>
      <c r="L38" s="6" t="s">
        <v>264</v>
      </c>
      <c r="M38" s="6" t="s">
        <v>23</v>
      </c>
      <c r="N38" s="6"/>
    </row>
    <row r="39" customFormat="false" ht="49.5" hidden="false" customHeight="true" outlineLevel="0" collapsed="false">
      <c r="A39" s="8" t="s">
        <v>214</v>
      </c>
      <c r="B39" s="6" t="s">
        <v>265</v>
      </c>
      <c r="C39" s="6" t="s">
        <v>58</v>
      </c>
      <c r="D39" s="6" t="s">
        <v>58</v>
      </c>
      <c r="E39" s="6" t="s">
        <v>266</v>
      </c>
      <c r="F39" s="6" t="s">
        <v>151</v>
      </c>
      <c r="G39" s="6" t="s">
        <v>267</v>
      </c>
      <c r="H39" s="6"/>
      <c r="I39" s="6"/>
      <c r="J39" s="6"/>
      <c r="K39" s="6" t="s">
        <v>268</v>
      </c>
      <c r="L39" s="6" t="s">
        <v>269</v>
      </c>
      <c r="M39" s="6" t="s">
        <v>23</v>
      </c>
      <c r="N39" s="6"/>
    </row>
    <row r="40" customFormat="false" ht="49.5" hidden="false" customHeight="true" outlineLevel="0" collapsed="false">
      <c r="A40" s="8" t="s">
        <v>214</v>
      </c>
      <c r="B40" s="6" t="s">
        <v>270</v>
      </c>
      <c r="C40" s="6" t="s">
        <v>271</v>
      </c>
      <c r="D40" s="6" t="s">
        <v>58</v>
      </c>
      <c r="E40" s="6" t="s">
        <v>272</v>
      </c>
      <c r="F40" s="6" t="s">
        <v>273</v>
      </c>
      <c r="G40" s="6" t="s">
        <v>274</v>
      </c>
      <c r="H40" s="6" t="s">
        <v>275</v>
      </c>
      <c r="I40" s="6" t="s">
        <v>276</v>
      </c>
      <c r="J40" s="6"/>
      <c r="K40" s="6" t="s">
        <v>277</v>
      </c>
      <c r="L40" s="6" t="s">
        <v>278</v>
      </c>
      <c r="M40" s="6" t="s">
        <v>23</v>
      </c>
      <c r="N40" s="6" t="s">
        <v>279</v>
      </c>
    </row>
    <row r="41" customFormat="false" ht="49.5" hidden="false" customHeight="true" outlineLevel="0" collapsed="false">
      <c r="A41" s="8" t="s">
        <v>214</v>
      </c>
      <c r="B41" s="6" t="s">
        <v>280</v>
      </c>
      <c r="C41" s="6" t="s">
        <v>233</v>
      </c>
      <c r="D41" s="6" t="s">
        <v>58</v>
      </c>
      <c r="E41" s="6" t="s">
        <v>281</v>
      </c>
      <c r="F41" s="6" t="s">
        <v>209</v>
      </c>
      <c r="G41" s="6"/>
      <c r="H41" s="6"/>
      <c r="I41" s="6"/>
      <c r="J41" s="6"/>
      <c r="K41" s="6" t="s">
        <v>282</v>
      </c>
      <c r="L41" s="6" t="s">
        <v>283</v>
      </c>
      <c r="M41" s="6" t="s">
        <v>23</v>
      </c>
      <c r="N41" s="6" t="s">
        <v>284</v>
      </c>
    </row>
    <row r="42" customFormat="false" ht="49.5" hidden="false" customHeight="true" outlineLevel="0" collapsed="false">
      <c r="A42" s="8" t="s">
        <v>214</v>
      </c>
      <c r="B42" s="6" t="s">
        <v>285</v>
      </c>
      <c r="C42" s="6" t="s">
        <v>233</v>
      </c>
      <c r="D42" s="6" t="s">
        <v>58</v>
      </c>
      <c r="E42" s="6" t="s">
        <v>286</v>
      </c>
      <c r="F42" s="6" t="s">
        <v>151</v>
      </c>
      <c r="G42" s="6"/>
      <c r="H42" s="6"/>
      <c r="I42" s="6"/>
      <c r="J42" s="6"/>
      <c r="K42" s="6" t="s">
        <v>287</v>
      </c>
      <c r="L42" s="6" t="s">
        <v>283</v>
      </c>
      <c r="M42" s="6" t="s">
        <v>23</v>
      </c>
      <c r="N42" s="6"/>
    </row>
    <row r="43" customFormat="false" ht="49.5" hidden="false" customHeight="true" outlineLevel="0" collapsed="false">
      <c r="A43" s="8" t="s">
        <v>214</v>
      </c>
      <c r="B43" s="6" t="s">
        <v>288</v>
      </c>
      <c r="C43" s="6" t="s">
        <v>233</v>
      </c>
      <c r="D43" s="6" t="s">
        <v>58</v>
      </c>
      <c r="E43" s="6" t="s">
        <v>289</v>
      </c>
      <c r="F43" s="6" t="s">
        <v>151</v>
      </c>
      <c r="G43" s="6"/>
      <c r="H43" s="6"/>
      <c r="I43" s="6"/>
      <c r="J43" s="6"/>
      <c r="K43" s="6" t="s">
        <v>290</v>
      </c>
      <c r="L43" s="6" t="s">
        <v>283</v>
      </c>
      <c r="M43" s="6" t="s">
        <v>23</v>
      </c>
      <c r="N43" s="6" t="s">
        <v>291</v>
      </c>
    </row>
    <row r="44" customFormat="false" ht="49.5" hidden="false" customHeight="true" outlineLevel="0" collapsed="false">
      <c r="A44" s="8" t="s">
        <v>214</v>
      </c>
      <c r="B44" s="6" t="s">
        <v>292</v>
      </c>
      <c r="C44" s="6" t="s">
        <v>293</v>
      </c>
      <c r="D44" s="6" t="s">
        <v>58</v>
      </c>
      <c r="E44" s="6" t="s">
        <v>294</v>
      </c>
      <c r="F44" s="6" t="s">
        <v>151</v>
      </c>
      <c r="G44" s="6"/>
      <c r="H44" s="6"/>
      <c r="I44" s="6"/>
      <c r="J44" s="6"/>
      <c r="K44" s="6" t="s">
        <v>295</v>
      </c>
      <c r="L44" s="6" t="s">
        <v>296</v>
      </c>
      <c r="M44" s="6" t="s">
        <v>23</v>
      </c>
      <c r="N44" s="6"/>
    </row>
    <row r="45" customFormat="false" ht="49.5" hidden="false" customHeight="true" outlineLevel="0" collapsed="false">
      <c r="A45" s="8" t="s">
        <v>214</v>
      </c>
      <c r="B45" s="6" t="s">
        <v>297</v>
      </c>
      <c r="C45" s="6" t="s">
        <v>293</v>
      </c>
      <c r="D45" s="6" t="s">
        <v>58</v>
      </c>
      <c r="E45" s="6" t="s">
        <v>298</v>
      </c>
      <c r="F45" s="6" t="s">
        <v>151</v>
      </c>
      <c r="G45" s="6"/>
      <c r="H45" s="6"/>
      <c r="I45" s="6"/>
      <c r="J45" s="6"/>
      <c r="K45" s="6" t="s">
        <v>299</v>
      </c>
      <c r="L45" s="6" t="s">
        <v>296</v>
      </c>
      <c r="M45" s="6" t="s">
        <v>23</v>
      </c>
      <c r="N45" s="6"/>
    </row>
    <row r="46" customFormat="false" ht="49.5" hidden="false" customHeight="true" outlineLevel="0" collapsed="false">
      <c r="A46" s="8" t="s">
        <v>214</v>
      </c>
      <c r="B46" s="6" t="s">
        <v>300</v>
      </c>
      <c r="C46" s="6" t="s">
        <v>293</v>
      </c>
      <c r="D46" s="6" t="s">
        <v>58</v>
      </c>
      <c r="E46" s="6" t="s">
        <v>301</v>
      </c>
      <c r="F46" s="6" t="s">
        <v>151</v>
      </c>
      <c r="G46" s="6"/>
      <c r="H46" s="6"/>
      <c r="I46" s="6"/>
      <c r="J46" s="6"/>
      <c r="K46" s="6" t="s">
        <v>302</v>
      </c>
      <c r="L46" s="6" t="s">
        <v>201</v>
      </c>
      <c r="M46" s="6" t="s">
        <v>23</v>
      </c>
      <c r="N46" s="6"/>
    </row>
    <row r="47" customFormat="false" ht="49.5" hidden="false" customHeight="true" outlineLevel="0" collapsed="false">
      <c r="A47" s="8" t="s">
        <v>214</v>
      </c>
      <c r="B47" s="6" t="s">
        <v>303</v>
      </c>
      <c r="C47" s="6" t="s">
        <v>67</v>
      </c>
      <c r="D47" s="6" t="s">
        <v>58</v>
      </c>
      <c r="E47" s="6" t="s">
        <v>304</v>
      </c>
      <c r="F47" s="6" t="s">
        <v>209</v>
      </c>
      <c r="G47" s="6" t="s">
        <v>305</v>
      </c>
      <c r="H47" s="6"/>
      <c r="I47" s="6"/>
      <c r="J47" s="6"/>
      <c r="K47" s="6" t="s">
        <v>306</v>
      </c>
      <c r="L47" s="6" t="s">
        <v>307</v>
      </c>
      <c r="M47" s="6" t="s">
        <v>23</v>
      </c>
      <c r="N47" s="6" t="s">
        <v>308</v>
      </c>
    </row>
    <row r="48" customFormat="false" ht="49.5" hidden="false" customHeight="true" outlineLevel="0" collapsed="false">
      <c r="A48" s="8" t="s">
        <v>214</v>
      </c>
      <c r="B48" s="6" t="s">
        <v>309</v>
      </c>
      <c r="C48" s="6" t="s">
        <v>67</v>
      </c>
      <c r="D48" s="6" t="s">
        <v>58</v>
      </c>
      <c r="E48" s="6" t="s">
        <v>310</v>
      </c>
      <c r="F48" s="6" t="s">
        <v>151</v>
      </c>
      <c r="G48" s="6" t="s">
        <v>311</v>
      </c>
      <c r="H48" s="6"/>
      <c r="I48" s="6"/>
      <c r="J48" s="6"/>
      <c r="K48" s="6" t="s">
        <v>312</v>
      </c>
      <c r="L48" s="6" t="s">
        <v>313</v>
      </c>
      <c r="M48" s="6" t="s">
        <v>23</v>
      </c>
      <c r="N48" s="6"/>
    </row>
    <row r="49" customFormat="false" ht="49.5" hidden="false" customHeight="true" outlineLevel="0" collapsed="false">
      <c r="A49" s="8" t="s">
        <v>214</v>
      </c>
      <c r="B49" s="6" t="s">
        <v>314</v>
      </c>
      <c r="C49" s="6" t="s">
        <v>58</v>
      </c>
      <c r="D49" s="6" t="s">
        <v>58</v>
      </c>
      <c r="E49" s="6" t="s">
        <v>315</v>
      </c>
      <c r="F49" s="6" t="s">
        <v>151</v>
      </c>
      <c r="G49" s="6"/>
      <c r="H49" s="6"/>
      <c r="I49" s="6"/>
      <c r="J49" s="6"/>
      <c r="K49" s="6" t="s">
        <v>316</v>
      </c>
      <c r="L49" s="6" t="s">
        <v>201</v>
      </c>
      <c r="M49" s="6" t="s">
        <v>23</v>
      </c>
      <c r="N49" s="6"/>
    </row>
    <row r="50" customFormat="false" ht="49.5" hidden="false" customHeight="true" outlineLevel="0" collapsed="false">
      <c r="A50" s="8" t="s">
        <v>214</v>
      </c>
      <c r="B50" s="6" t="s">
        <v>317</v>
      </c>
      <c r="C50" s="6" t="s">
        <v>58</v>
      </c>
      <c r="D50" s="6" t="s">
        <v>58</v>
      </c>
      <c r="E50" s="6" t="s">
        <v>318</v>
      </c>
      <c r="F50" s="6" t="s">
        <v>151</v>
      </c>
      <c r="G50" s="6"/>
      <c r="H50" s="6"/>
      <c r="I50" s="6"/>
      <c r="J50" s="6"/>
      <c r="K50" s="6" t="s">
        <v>319</v>
      </c>
      <c r="L50" s="6" t="s">
        <v>201</v>
      </c>
      <c r="M50" s="6" t="s">
        <v>23</v>
      </c>
      <c r="N50" s="6"/>
    </row>
    <row r="51" customFormat="false" ht="49.5" hidden="false" customHeight="true" outlineLevel="0" collapsed="false">
      <c r="A51" s="8" t="s">
        <v>214</v>
      </c>
      <c r="B51" s="6" t="s">
        <v>320</v>
      </c>
      <c r="C51" s="6" t="s">
        <v>58</v>
      </c>
      <c r="D51" s="6" t="s">
        <v>58</v>
      </c>
      <c r="E51" s="6" t="s">
        <v>321</v>
      </c>
      <c r="F51" s="6" t="s">
        <v>151</v>
      </c>
      <c r="G51" s="6"/>
      <c r="H51" s="6"/>
      <c r="I51" s="6"/>
      <c r="J51" s="6"/>
      <c r="K51" s="6" t="s">
        <v>322</v>
      </c>
      <c r="L51" s="6" t="s">
        <v>201</v>
      </c>
      <c r="M51" s="6" t="s">
        <v>23</v>
      </c>
      <c r="N51" s="6"/>
    </row>
    <row r="52" customFormat="false" ht="49.5" hidden="false" customHeight="true" outlineLevel="0" collapsed="false">
      <c r="A52" s="8" t="s">
        <v>214</v>
      </c>
      <c r="B52" s="6" t="s">
        <v>323</v>
      </c>
      <c r="C52" s="6" t="s">
        <v>324</v>
      </c>
      <c r="D52" s="6" t="s">
        <v>58</v>
      </c>
      <c r="E52" s="6" t="s">
        <v>325</v>
      </c>
      <c r="F52" s="6" t="s">
        <v>151</v>
      </c>
      <c r="G52" s="6"/>
      <c r="H52" s="6"/>
      <c r="I52" s="6"/>
      <c r="J52" s="6" t="s">
        <v>326</v>
      </c>
      <c r="K52" s="6" t="s">
        <v>327</v>
      </c>
      <c r="L52" s="6" t="s">
        <v>50</v>
      </c>
      <c r="M52" s="6" t="s">
        <v>23</v>
      </c>
      <c r="N52" s="6" t="s">
        <v>328</v>
      </c>
    </row>
  </sheetData>
  <autoFilter ref="A1:N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8"/>
    <col collapsed="false" customWidth="true" hidden="false" outlineLevel="0" max="11" min="11" style="0" width="60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27.75" hidden="false" customHeight="true" outlineLevel="0" collapsed="false">
      <c r="A1" s="9" t="s">
        <v>329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1.5" hidden="false" customHeight="tru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</row>
    <row r="3" customFormat="false" ht="49.5" hidden="false" customHeight="true" outlineLevel="0" collapsed="false">
      <c r="A3" s="5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/>
      <c r="I3" s="6"/>
      <c r="J3" s="6" t="s">
        <v>62</v>
      </c>
      <c r="K3" s="6" t="s">
        <v>63</v>
      </c>
      <c r="L3" s="6" t="s">
        <v>64</v>
      </c>
      <c r="M3" s="6" t="s">
        <v>23</v>
      </c>
      <c r="N3" s="6" t="s">
        <v>65</v>
      </c>
    </row>
    <row r="4" customFormat="false" ht="49.5" hidden="false" customHeight="true" outlineLevel="0" collapsed="false">
      <c r="A4" s="5" t="s">
        <v>55</v>
      </c>
      <c r="B4" s="6" t="s">
        <v>66</v>
      </c>
      <c r="C4" s="6" t="s">
        <v>67</v>
      </c>
      <c r="D4" s="6" t="s">
        <v>58</v>
      </c>
      <c r="E4" s="6" t="s">
        <v>68</v>
      </c>
      <c r="F4" s="6" t="s">
        <v>69</v>
      </c>
      <c r="G4" s="6" t="s">
        <v>70</v>
      </c>
      <c r="H4" s="6"/>
      <c r="I4" s="6"/>
      <c r="J4" s="6"/>
      <c r="K4" s="6" t="s">
        <v>71</v>
      </c>
      <c r="L4" s="6" t="s">
        <v>72</v>
      </c>
      <c r="M4" s="6" t="s">
        <v>23</v>
      </c>
      <c r="N4" s="6"/>
    </row>
    <row r="5" customFormat="false" ht="49.5" hidden="false" customHeight="true" outlineLevel="0" collapsed="false">
      <c r="A5" s="5" t="s">
        <v>55</v>
      </c>
      <c r="B5" s="6" t="s">
        <v>73</v>
      </c>
      <c r="C5" s="6" t="s">
        <v>58</v>
      </c>
      <c r="D5" s="6" t="s">
        <v>58</v>
      </c>
      <c r="E5" s="6" t="s">
        <v>74</v>
      </c>
      <c r="F5" s="6" t="s">
        <v>69</v>
      </c>
      <c r="G5" s="6" t="s">
        <v>75</v>
      </c>
      <c r="H5" s="6"/>
      <c r="I5" s="6"/>
      <c r="J5" s="6"/>
      <c r="K5" s="6" t="s">
        <v>76</v>
      </c>
      <c r="L5" s="6" t="s">
        <v>77</v>
      </c>
      <c r="M5" s="6" t="s">
        <v>23</v>
      </c>
      <c r="N5" s="6"/>
    </row>
    <row r="6" customFormat="false" ht="49.5" hidden="false" customHeight="true" outlineLevel="0" collapsed="false">
      <c r="A6" s="5" t="s">
        <v>55</v>
      </c>
      <c r="B6" s="6" t="s">
        <v>78</v>
      </c>
      <c r="C6" s="6" t="s">
        <v>58</v>
      </c>
      <c r="D6" s="6" t="s">
        <v>58</v>
      </c>
      <c r="E6" s="6" t="s">
        <v>79</v>
      </c>
      <c r="F6" s="6" t="s">
        <v>69</v>
      </c>
      <c r="G6" s="6"/>
      <c r="H6" s="6"/>
      <c r="I6" s="6"/>
      <c r="J6" s="6"/>
      <c r="K6" s="6" t="s">
        <v>80</v>
      </c>
      <c r="L6" s="6" t="s">
        <v>81</v>
      </c>
      <c r="M6" s="6" t="s">
        <v>23</v>
      </c>
      <c r="N6" s="6" t="s">
        <v>82</v>
      </c>
    </row>
    <row r="7" customFormat="false" ht="49.5" hidden="false" customHeight="true" outlineLevel="0" collapsed="false">
      <c r="A7" s="5" t="s">
        <v>55</v>
      </c>
      <c r="B7" s="6" t="s">
        <v>83</v>
      </c>
      <c r="C7" s="6" t="s">
        <v>58</v>
      </c>
      <c r="D7" s="6" t="s">
        <v>58</v>
      </c>
      <c r="E7" s="6" t="s">
        <v>84</v>
      </c>
      <c r="F7" s="6" t="s">
        <v>60</v>
      </c>
      <c r="G7" s="6"/>
      <c r="H7" s="6"/>
      <c r="I7" s="6"/>
      <c r="J7" s="6"/>
      <c r="K7" s="6" t="s">
        <v>85</v>
      </c>
      <c r="L7" s="6" t="s">
        <v>81</v>
      </c>
      <c r="M7" s="6" t="s">
        <v>23</v>
      </c>
      <c r="N7" s="6"/>
    </row>
    <row r="8" customFormat="false" ht="49.5" hidden="false" customHeight="true" outlineLevel="0" collapsed="false">
      <c r="A8" s="5" t="s">
        <v>55</v>
      </c>
      <c r="B8" s="6" t="s">
        <v>86</v>
      </c>
      <c r="C8" s="6" t="s">
        <v>67</v>
      </c>
      <c r="D8" s="6" t="s">
        <v>58</v>
      </c>
      <c r="E8" s="6" t="s">
        <v>87</v>
      </c>
      <c r="F8" s="6" t="s">
        <v>88</v>
      </c>
      <c r="G8" s="6" t="s">
        <v>89</v>
      </c>
      <c r="H8" s="6"/>
      <c r="I8" s="6"/>
      <c r="J8" s="6"/>
      <c r="K8" s="6" t="s">
        <v>90</v>
      </c>
      <c r="L8" s="6" t="s">
        <v>91</v>
      </c>
      <c r="M8" s="6" t="s">
        <v>23</v>
      </c>
      <c r="N8" s="6"/>
    </row>
    <row r="9" customFormat="false" ht="49.5" hidden="false" customHeight="true" outlineLevel="0" collapsed="false">
      <c r="A9" s="5" t="s">
        <v>55</v>
      </c>
      <c r="B9" s="6" t="s">
        <v>92</v>
      </c>
      <c r="C9" s="6" t="s">
        <v>67</v>
      </c>
      <c r="D9" s="6" t="s">
        <v>58</v>
      </c>
      <c r="E9" s="6" t="s">
        <v>93</v>
      </c>
      <c r="F9" s="6" t="s">
        <v>94</v>
      </c>
      <c r="G9" s="6" t="s">
        <v>95</v>
      </c>
      <c r="H9" s="6"/>
      <c r="I9" s="6"/>
      <c r="J9" s="6"/>
      <c r="K9" s="6" t="s">
        <v>96</v>
      </c>
      <c r="L9" s="6" t="s">
        <v>91</v>
      </c>
      <c r="M9" s="6" t="s">
        <v>23</v>
      </c>
      <c r="N9" s="6"/>
    </row>
    <row r="10" customFormat="false" ht="49.5" hidden="false" customHeight="true" outlineLevel="0" collapsed="false">
      <c r="A10" s="5" t="s">
        <v>55</v>
      </c>
      <c r="B10" s="6" t="s">
        <v>97</v>
      </c>
      <c r="C10" s="6" t="s">
        <v>58</v>
      </c>
      <c r="D10" s="6" t="s">
        <v>58</v>
      </c>
      <c r="E10" s="6" t="s">
        <v>98</v>
      </c>
      <c r="F10" s="6" t="s">
        <v>99</v>
      </c>
      <c r="G10" s="6" t="s">
        <v>100</v>
      </c>
      <c r="H10" s="6"/>
      <c r="I10" s="6"/>
      <c r="J10" s="6"/>
      <c r="K10" s="6" t="s">
        <v>101</v>
      </c>
      <c r="L10" s="6" t="s">
        <v>102</v>
      </c>
      <c r="M10" s="6" t="s">
        <v>23</v>
      </c>
      <c r="N10" s="6"/>
    </row>
    <row r="11" customFormat="false" ht="49.5" hidden="false" customHeight="true" outlineLevel="0" collapsed="false">
      <c r="A11" s="5" t="s">
        <v>55</v>
      </c>
      <c r="B11" s="6" t="s">
        <v>103</v>
      </c>
      <c r="C11" s="6" t="s">
        <v>67</v>
      </c>
      <c r="D11" s="6" t="s">
        <v>58</v>
      </c>
      <c r="E11" s="6" t="s">
        <v>104</v>
      </c>
      <c r="F11" s="6" t="s">
        <v>88</v>
      </c>
      <c r="G11" s="6" t="s">
        <v>105</v>
      </c>
      <c r="H11" s="6"/>
      <c r="I11" s="6"/>
      <c r="J11" s="6"/>
      <c r="K11" s="6" t="s">
        <v>106</v>
      </c>
      <c r="L11" s="6" t="s">
        <v>107</v>
      </c>
      <c r="M11" s="6" t="s">
        <v>23</v>
      </c>
      <c r="N11" s="6"/>
    </row>
    <row r="12" customFormat="false" ht="49.5" hidden="false" customHeight="true" outlineLevel="0" collapsed="false">
      <c r="A12" s="5" t="s">
        <v>55</v>
      </c>
      <c r="B12" s="6" t="s">
        <v>108</v>
      </c>
      <c r="C12" s="6" t="s">
        <v>58</v>
      </c>
      <c r="D12" s="6" t="s">
        <v>58</v>
      </c>
      <c r="E12" s="6" t="s">
        <v>109</v>
      </c>
      <c r="F12" s="6" t="s">
        <v>99</v>
      </c>
      <c r="G12" s="6"/>
      <c r="H12" s="6"/>
      <c r="I12" s="6"/>
      <c r="J12" s="6" t="s">
        <v>110</v>
      </c>
      <c r="K12" s="6" t="s">
        <v>111</v>
      </c>
      <c r="L12" s="6" t="s">
        <v>112</v>
      </c>
      <c r="M12" s="6" t="s">
        <v>23</v>
      </c>
      <c r="N12" s="6" t="s">
        <v>113</v>
      </c>
    </row>
    <row r="13" customFormat="false" ht="49.5" hidden="false" customHeight="true" outlineLevel="0" collapsed="false">
      <c r="A13" s="5" t="s">
        <v>55</v>
      </c>
      <c r="B13" s="6" t="s">
        <v>114</v>
      </c>
      <c r="C13" s="6" t="s">
        <v>67</v>
      </c>
      <c r="D13" s="6" t="s">
        <v>58</v>
      </c>
      <c r="E13" s="6" t="s">
        <v>115</v>
      </c>
      <c r="F13" s="6" t="s">
        <v>88</v>
      </c>
      <c r="G13" s="6" t="s">
        <v>116</v>
      </c>
      <c r="H13" s="6"/>
      <c r="I13" s="6"/>
      <c r="J13" s="6"/>
      <c r="K13" s="6" t="s">
        <v>117</v>
      </c>
      <c r="L13" s="6" t="s">
        <v>118</v>
      </c>
      <c r="M13" s="6" t="s">
        <v>23</v>
      </c>
      <c r="N13" s="6"/>
    </row>
    <row r="14" customFormat="false" ht="49.5" hidden="false" customHeight="true" outlineLevel="0" collapsed="false">
      <c r="A14" s="5" t="s">
        <v>55</v>
      </c>
      <c r="B14" s="6" t="s">
        <v>119</v>
      </c>
      <c r="C14" s="6" t="s">
        <v>67</v>
      </c>
      <c r="D14" s="6" t="s">
        <v>58</v>
      </c>
      <c r="E14" s="6" t="s">
        <v>120</v>
      </c>
      <c r="F14" s="6" t="s">
        <v>121</v>
      </c>
      <c r="G14" s="6" t="s">
        <v>122</v>
      </c>
      <c r="H14" s="6"/>
      <c r="I14" s="6"/>
      <c r="J14" s="6"/>
      <c r="K14" s="6" t="s">
        <v>123</v>
      </c>
      <c r="L14" s="6" t="s">
        <v>124</v>
      </c>
      <c r="M14" s="6" t="s">
        <v>23</v>
      </c>
      <c r="N14" s="6"/>
    </row>
    <row r="15" customFormat="false" ht="49.5" hidden="false" customHeight="true" outlineLevel="0" collapsed="false">
      <c r="A15" s="5" t="s">
        <v>55</v>
      </c>
      <c r="B15" s="6" t="s">
        <v>125</v>
      </c>
      <c r="C15" s="6" t="s">
        <v>58</v>
      </c>
      <c r="D15" s="6" t="s">
        <v>58</v>
      </c>
      <c r="E15" s="6" t="s">
        <v>126</v>
      </c>
      <c r="F15" s="6" t="s">
        <v>127</v>
      </c>
      <c r="G15" s="6" t="s">
        <v>128</v>
      </c>
      <c r="H15" s="6"/>
      <c r="I15" s="6"/>
      <c r="J15" s="6"/>
      <c r="K15" s="6" t="s">
        <v>129</v>
      </c>
      <c r="L15" s="6" t="s">
        <v>130</v>
      </c>
      <c r="M15" s="6" t="s">
        <v>23</v>
      </c>
      <c r="N15" s="6" t="s">
        <v>131</v>
      </c>
    </row>
  </sheetData>
  <autoFilter ref="A2:N15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8"/>
    <col collapsed="false" customWidth="true" hidden="false" outlineLevel="0" max="11" min="11" style="0" width="60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27.75" hidden="false" customHeight="true" outlineLevel="0" collapsed="false">
      <c r="A1" s="10" t="s">
        <v>330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1.5" hidden="false" customHeight="tru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</row>
    <row r="3" customFormat="false" ht="49.5" hidden="false" customHeight="true" outlineLevel="0" collapsed="false">
      <c r="A3" s="7" t="s">
        <v>132</v>
      </c>
      <c r="B3" s="6" t="s">
        <v>133</v>
      </c>
      <c r="C3" s="6" t="s">
        <v>134</v>
      </c>
      <c r="D3" s="6" t="s">
        <v>58</v>
      </c>
      <c r="E3" s="6" t="s">
        <v>135</v>
      </c>
      <c r="F3" s="6" t="s">
        <v>136</v>
      </c>
      <c r="G3" s="6" t="s">
        <v>137</v>
      </c>
      <c r="H3" s="6"/>
      <c r="I3" s="6" t="s">
        <v>138</v>
      </c>
      <c r="J3" s="6" t="s">
        <v>139</v>
      </c>
      <c r="K3" s="6" t="s">
        <v>140</v>
      </c>
      <c r="L3" s="6" t="s">
        <v>141</v>
      </c>
      <c r="M3" s="6" t="s">
        <v>23</v>
      </c>
      <c r="N3" s="6" t="s">
        <v>142</v>
      </c>
    </row>
    <row r="4" customFormat="false" ht="49.5" hidden="false" customHeight="true" outlineLevel="0" collapsed="false">
      <c r="A4" s="7" t="s">
        <v>132</v>
      </c>
      <c r="B4" s="6" t="s">
        <v>143</v>
      </c>
      <c r="C4" s="6" t="s">
        <v>67</v>
      </c>
      <c r="D4" s="6" t="s">
        <v>58</v>
      </c>
      <c r="E4" s="6" t="s">
        <v>144</v>
      </c>
      <c r="F4" s="6" t="s">
        <v>136</v>
      </c>
      <c r="G4" s="6" t="s">
        <v>145</v>
      </c>
      <c r="H4" s="6"/>
      <c r="I4" s="6"/>
      <c r="J4" s="6" t="s">
        <v>146</v>
      </c>
      <c r="K4" s="6" t="s">
        <v>147</v>
      </c>
      <c r="L4" s="6" t="s">
        <v>148</v>
      </c>
      <c r="M4" s="6" t="s">
        <v>23</v>
      </c>
      <c r="N4" s="6"/>
    </row>
    <row r="5" customFormat="false" ht="49.5" hidden="false" customHeight="true" outlineLevel="0" collapsed="false">
      <c r="A5" s="7" t="s">
        <v>132</v>
      </c>
      <c r="B5" s="6" t="s">
        <v>149</v>
      </c>
      <c r="C5" s="6" t="s">
        <v>67</v>
      </c>
      <c r="D5" s="6" t="s">
        <v>58</v>
      </c>
      <c r="E5" s="6" t="s">
        <v>150</v>
      </c>
      <c r="F5" s="6" t="s">
        <v>151</v>
      </c>
      <c r="G5" s="6" t="s">
        <v>152</v>
      </c>
      <c r="H5" s="6"/>
      <c r="I5" s="6"/>
      <c r="J5" s="6"/>
      <c r="K5" s="6" t="s">
        <v>153</v>
      </c>
      <c r="L5" s="6" t="s">
        <v>154</v>
      </c>
      <c r="M5" s="6" t="s">
        <v>23</v>
      </c>
      <c r="N5" s="6"/>
    </row>
    <row r="6" customFormat="false" ht="49.5" hidden="false" customHeight="true" outlineLevel="0" collapsed="false">
      <c r="A6" s="7" t="s">
        <v>132</v>
      </c>
      <c r="B6" s="6" t="s">
        <v>155</v>
      </c>
      <c r="C6" s="6" t="s">
        <v>67</v>
      </c>
      <c r="D6" s="6" t="s">
        <v>58</v>
      </c>
      <c r="E6" s="6" t="s">
        <v>156</v>
      </c>
      <c r="F6" s="6" t="s">
        <v>157</v>
      </c>
      <c r="G6" s="6"/>
      <c r="H6" s="6"/>
      <c r="I6" s="6"/>
      <c r="J6" s="6"/>
      <c r="K6" s="6" t="s">
        <v>158</v>
      </c>
      <c r="L6" s="6" t="s">
        <v>159</v>
      </c>
      <c r="M6" s="6" t="s">
        <v>23</v>
      </c>
      <c r="N6" s="6"/>
    </row>
    <row r="7" customFormat="false" ht="49.5" hidden="false" customHeight="true" outlineLevel="0" collapsed="false">
      <c r="A7" s="7" t="s">
        <v>132</v>
      </c>
      <c r="B7" s="6" t="s">
        <v>160</v>
      </c>
      <c r="C7" s="6" t="s">
        <v>67</v>
      </c>
      <c r="D7" s="6" t="s">
        <v>58</v>
      </c>
      <c r="E7" s="6" t="s">
        <v>161</v>
      </c>
      <c r="F7" s="6" t="s">
        <v>151</v>
      </c>
      <c r="G7" s="6"/>
      <c r="H7" s="6"/>
      <c r="I7" s="6"/>
      <c r="J7" s="6"/>
      <c r="K7" s="6" t="s">
        <v>162</v>
      </c>
      <c r="L7" s="6" t="s">
        <v>163</v>
      </c>
      <c r="M7" s="6" t="s">
        <v>23</v>
      </c>
      <c r="N7" s="6"/>
    </row>
    <row r="8" customFormat="false" ht="49.5" hidden="false" customHeight="true" outlineLevel="0" collapsed="false">
      <c r="A8" s="7" t="s">
        <v>132</v>
      </c>
      <c r="B8" s="6" t="s">
        <v>164</v>
      </c>
      <c r="C8" s="6" t="s">
        <v>58</v>
      </c>
      <c r="D8" s="6" t="s">
        <v>58</v>
      </c>
      <c r="E8" s="6" t="s">
        <v>165</v>
      </c>
      <c r="F8" s="6" t="s">
        <v>151</v>
      </c>
      <c r="G8" s="6"/>
      <c r="H8" s="6"/>
      <c r="I8" s="6"/>
      <c r="J8" s="6"/>
      <c r="K8" s="6" t="s">
        <v>166</v>
      </c>
      <c r="L8" s="6" t="s">
        <v>167</v>
      </c>
      <c r="M8" s="6" t="s">
        <v>23</v>
      </c>
      <c r="N8" s="6" t="s">
        <v>168</v>
      </c>
    </row>
    <row r="9" customFormat="false" ht="49.5" hidden="false" customHeight="true" outlineLevel="0" collapsed="false">
      <c r="A9" s="7" t="s">
        <v>132</v>
      </c>
      <c r="B9" s="6" t="s">
        <v>169</v>
      </c>
      <c r="C9" s="6" t="s">
        <v>67</v>
      </c>
      <c r="D9" s="6" t="s">
        <v>58</v>
      </c>
      <c r="E9" s="6" t="s">
        <v>170</v>
      </c>
      <c r="F9" s="6" t="s">
        <v>151</v>
      </c>
      <c r="G9" s="6"/>
      <c r="H9" s="6"/>
      <c r="I9" s="6"/>
      <c r="J9" s="6"/>
      <c r="K9" s="6" t="s">
        <v>171</v>
      </c>
      <c r="L9" s="6" t="s">
        <v>167</v>
      </c>
      <c r="M9" s="6" t="s">
        <v>23</v>
      </c>
      <c r="N9" s="6"/>
    </row>
    <row r="10" customFormat="false" ht="49.5" hidden="false" customHeight="true" outlineLevel="0" collapsed="false">
      <c r="A10" s="7" t="s">
        <v>132</v>
      </c>
      <c r="B10" s="6" t="s">
        <v>172</v>
      </c>
      <c r="C10" s="6" t="s">
        <v>58</v>
      </c>
      <c r="D10" s="6" t="s">
        <v>58</v>
      </c>
      <c r="E10" s="6" t="s">
        <v>173</v>
      </c>
      <c r="F10" s="6" t="s">
        <v>151</v>
      </c>
      <c r="G10" s="6"/>
      <c r="H10" s="6"/>
      <c r="I10" s="6"/>
      <c r="J10" s="6"/>
      <c r="K10" s="6" t="s">
        <v>174</v>
      </c>
      <c r="L10" s="6" t="s">
        <v>175</v>
      </c>
      <c r="M10" s="6" t="s">
        <v>23</v>
      </c>
      <c r="N10" s="6"/>
    </row>
    <row r="11" customFormat="false" ht="49.5" hidden="false" customHeight="true" outlineLevel="0" collapsed="false">
      <c r="A11" s="7" t="s">
        <v>132</v>
      </c>
      <c r="B11" s="6" t="s">
        <v>176</v>
      </c>
      <c r="C11" s="6" t="s">
        <v>67</v>
      </c>
      <c r="D11" s="6" t="s">
        <v>58</v>
      </c>
      <c r="E11" s="6" t="s">
        <v>177</v>
      </c>
      <c r="F11" s="6" t="s">
        <v>151</v>
      </c>
      <c r="G11" s="6" t="s">
        <v>178</v>
      </c>
      <c r="H11" s="6"/>
      <c r="I11" s="6"/>
      <c r="J11" s="6"/>
      <c r="K11" s="6" t="s">
        <v>179</v>
      </c>
      <c r="L11" s="6" t="s">
        <v>175</v>
      </c>
      <c r="M11" s="6" t="s">
        <v>23</v>
      </c>
      <c r="N11" s="6" t="s">
        <v>180</v>
      </c>
    </row>
    <row r="12" customFormat="false" ht="49.5" hidden="false" customHeight="true" outlineLevel="0" collapsed="false">
      <c r="A12" s="7" t="s">
        <v>132</v>
      </c>
      <c r="B12" s="6" t="s">
        <v>181</v>
      </c>
      <c r="C12" s="6" t="s">
        <v>67</v>
      </c>
      <c r="D12" s="6" t="s">
        <v>58</v>
      </c>
      <c r="E12" s="6" t="s">
        <v>182</v>
      </c>
      <c r="F12" s="6" t="s">
        <v>151</v>
      </c>
      <c r="G12" s="6"/>
      <c r="H12" s="6"/>
      <c r="I12" s="6"/>
      <c r="J12" s="6"/>
      <c r="K12" s="6" t="s">
        <v>183</v>
      </c>
      <c r="L12" s="6" t="s">
        <v>184</v>
      </c>
      <c r="M12" s="6" t="s">
        <v>23</v>
      </c>
      <c r="N12" s="6"/>
    </row>
    <row r="13" customFormat="false" ht="49.5" hidden="false" customHeight="true" outlineLevel="0" collapsed="false">
      <c r="A13" s="7" t="s">
        <v>132</v>
      </c>
      <c r="B13" s="6" t="s">
        <v>185</v>
      </c>
      <c r="C13" s="6" t="s">
        <v>67</v>
      </c>
      <c r="D13" s="6" t="s">
        <v>58</v>
      </c>
      <c r="E13" s="6" t="s">
        <v>186</v>
      </c>
      <c r="F13" s="6" t="s">
        <v>151</v>
      </c>
      <c r="G13" s="6"/>
      <c r="H13" s="6"/>
      <c r="I13" s="6"/>
      <c r="J13" s="6"/>
      <c r="K13" s="6" t="s">
        <v>187</v>
      </c>
      <c r="L13" s="6" t="s">
        <v>184</v>
      </c>
      <c r="M13" s="6" t="s">
        <v>23</v>
      </c>
      <c r="N13" s="6"/>
    </row>
    <row r="14" customFormat="false" ht="49.5" hidden="false" customHeight="true" outlineLevel="0" collapsed="false">
      <c r="A14" s="7" t="s">
        <v>132</v>
      </c>
      <c r="B14" s="6" t="s">
        <v>188</v>
      </c>
      <c r="C14" s="6" t="s">
        <v>67</v>
      </c>
      <c r="D14" s="6" t="s">
        <v>58</v>
      </c>
      <c r="E14" s="6" t="s">
        <v>189</v>
      </c>
      <c r="F14" s="6" t="s">
        <v>151</v>
      </c>
      <c r="G14" s="6" t="s">
        <v>190</v>
      </c>
      <c r="H14" s="6"/>
      <c r="I14" s="6"/>
      <c r="J14" s="6"/>
      <c r="K14" s="6" t="s">
        <v>191</v>
      </c>
      <c r="L14" s="6" t="s">
        <v>192</v>
      </c>
      <c r="M14" s="6" t="s">
        <v>23</v>
      </c>
      <c r="N14" s="6"/>
    </row>
    <row r="15" customFormat="false" ht="49.5" hidden="false" customHeight="true" outlineLevel="0" collapsed="false">
      <c r="A15" s="7" t="s">
        <v>132</v>
      </c>
      <c r="B15" s="6" t="s">
        <v>193</v>
      </c>
      <c r="C15" s="6" t="s">
        <v>67</v>
      </c>
      <c r="D15" s="6" t="s">
        <v>58</v>
      </c>
      <c r="E15" s="6" t="s">
        <v>194</v>
      </c>
      <c r="F15" s="6" t="s">
        <v>136</v>
      </c>
      <c r="G15" s="6" t="s">
        <v>195</v>
      </c>
      <c r="H15" s="6"/>
      <c r="I15" s="6"/>
      <c r="J15" s="6"/>
      <c r="K15" s="6" t="s">
        <v>196</v>
      </c>
      <c r="L15" s="6" t="s">
        <v>197</v>
      </c>
      <c r="M15" s="6" t="s">
        <v>23</v>
      </c>
      <c r="N15" s="6"/>
    </row>
    <row r="16" customFormat="false" ht="49.5" hidden="false" customHeight="true" outlineLevel="0" collapsed="false">
      <c r="A16" s="7" t="s">
        <v>132</v>
      </c>
      <c r="B16" s="6" t="s">
        <v>198</v>
      </c>
      <c r="C16" s="6" t="s">
        <v>67</v>
      </c>
      <c r="D16" s="6" t="s">
        <v>58</v>
      </c>
      <c r="E16" s="6" t="s">
        <v>199</v>
      </c>
      <c r="F16" s="6" t="s">
        <v>151</v>
      </c>
      <c r="G16" s="6"/>
      <c r="H16" s="6"/>
      <c r="I16" s="6"/>
      <c r="J16" s="6"/>
      <c r="K16" s="6" t="s">
        <v>200</v>
      </c>
      <c r="L16" s="6" t="s">
        <v>201</v>
      </c>
      <c r="M16" s="6" t="s">
        <v>23</v>
      </c>
      <c r="N16" s="6"/>
    </row>
    <row r="17" customFormat="false" ht="49.5" hidden="false" customHeight="true" outlineLevel="0" collapsed="false">
      <c r="A17" s="7" t="s">
        <v>132</v>
      </c>
      <c r="B17" s="6" t="s">
        <v>202</v>
      </c>
      <c r="C17" s="6" t="s">
        <v>67</v>
      </c>
      <c r="D17" s="6" t="s">
        <v>58</v>
      </c>
      <c r="E17" s="6" t="s">
        <v>203</v>
      </c>
      <c r="F17" s="6" t="s">
        <v>151</v>
      </c>
      <c r="G17" s="6" t="s">
        <v>204</v>
      </c>
      <c r="H17" s="6"/>
      <c r="I17" s="6"/>
      <c r="J17" s="6"/>
      <c r="K17" s="6" t="s">
        <v>205</v>
      </c>
      <c r="L17" s="6" t="s">
        <v>206</v>
      </c>
      <c r="M17" s="6" t="s">
        <v>23</v>
      </c>
      <c r="N17" s="6"/>
    </row>
    <row r="18" customFormat="false" ht="49.5" hidden="false" customHeight="true" outlineLevel="0" collapsed="false">
      <c r="A18" s="7" t="s">
        <v>132</v>
      </c>
      <c r="B18" s="6" t="s">
        <v>207</v>
      </c>
      <c r="C18" s="6" t="s">
        <v>67</v>
      </c>
      <c r="D18" s="6" t="s">
        <v>58</v>
      </c>
      <c r="E18" s="6" t="s">
        <v>208</v>
      </c>
      <c r="F18" s="6" t="s">
        <v>209</v>
      </c>
      <c r="G18" s="6" t="s">
        <v>210</v>
      </c>
      <c r="H18" s="6"/>
      <c r="I18" s="6"/>
      <c r="J18" s="6"/>
      <c r="K18" s="6" t="s">
        <v>211</v>
      </c>
      <c r="L18" s="6" t="s">
        <v>212</v>
      </c>
      <c r="M18" s="6" t="s">
        <v>23</v>
      </c>
      <c r="N18" s="6" t="s">
        <v>213</v>
      </c>
    </row>
  </sheetData>
  <autoFilter ref="A2:N18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8"/>
    <col collapsed="false" customWidth="true" hidden="false" outlineLevel="0" max="11" min="11" style="0" width="60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27.75" hidden="false" customHeight="true" outlineLevel="0" collapsed="false">
      <c r="A1" s="11" t="s">
        <v>331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31.5" hidden="false" customHeight="tru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</row>
    <row r="3" customFormat="false" ht="49.5" hidden="false" customHeight="true" outlineLevel="0" collapsed="false">
      <c r="A3" s="8" t="s">
        <v>214</v>
      </c>
      <c r="B3" s="6" t="s">
        <v>215</v>
      </c>
      <c r="C3" s="6" t="s">
        <v>67</v>
      </c>
      <c r="D3" s="6" t="s">
        <v>58</v>
      </c>
      <c r="E3" s="6" t="s">
        <v>216</v>
      </c>
      <c r="F3" s="6" t="s">
        <v>136</v>
      </c>
      <c r="G3" s="6" t="s">
        <v>217</v>
      </c>
      <c r="H3" s="6" t="s">
        <v>218</v>
      </c>
      <c r="I3" s="6" t="s">
        <v>219</v>
      </c>
      <c r="J3" s="6"/>
      <c r="K3" s="6" t="s">
        <v>220</v>
      </c>
      <c r="L3" s="6" t="s">
        <v>221</v>
      </c>
      <c r="M3" s="6" t="s">
        <v>23</v>
      </c>
      <c r="N3" s="6" t="s">
        <v>222</v>
      </c>
    </row>
    <row r="4" customFormat="false" ht="49.5" hidden="false" customHeight="true" outlineLevel="0" collapsed="false">
      <c r="A4" s="8" t="s">
        <v>214</v>
      </c>
      <c r="B4" s="6" t="s">
        <v>223</v>
      </c>
      <c r="C4" s="6" t="s">
        <v>224</v>
      </c>
      <c r="D4" s="6" t="s">
        <v>58</v>
      </c>
      <c r="E4" s="6" t="s">
        <v>225</v>
      </c>
      <c r="F4" s="6" t="s">
        <v>151</v>
      </c>
      <c r="G4" s="6" t="s">
        <v>226</v>
      </c>
      <c r="H4" s="6" t="s">
        <v>227</v>
      </c>
      <c r="I4" s="6" t="s">
        <v>228</v>
      </c>
      <c r="J4" s="6"/>
      <c r="K4" s="6" t="s">
        <v>229</v>
      </c>
      <c r="L4" s="6" t="s">
        <v>230</v>
      </c>
      <c r="M4" s="6" t="s">
        <v>23</v>
      </c>
      <c r="N4" s="6" t="s">
        <v>231</v>
      </c>
    </row>
    <row r="5" customFormat="false" ht="49.5" hidden="false" customHeight="true" outlineLevel="0" collapsed="false">
      <c r="A5" s="8" t="s">
        <v>214</v>
      </c>
      <c r="B5" s="6" t="s">
        <v>232</v>
      </c>
      <c r="C5" s="6" t="s">
        <v>233</v>
      </c>
      <c r="D5" s="6" t="s">
        <v>58</v>
      </c>
      <c r="E5" s="6" t="s">
        <v>234</v>
      </c>
      <c r="F5" s="6" t="s">
        <v>151</v>
      </c>
      <c r="G5" s="6" t="s">
        <v>235</v>
      </c>
      <c r="H5" s="6"/>
      <c r="I5" s="6" t="s">
        <v>236</v>
      </c>
      <c r="J5" s="6"/>
      <c r="K5" s="6" t="s">
        <v>237</v>
      </c>
      <c r="L5" s="6" t="s">
        <v>238</v>
      </c>
      <c r="M5" s="6" t="s">
        <v>23</v>
      </c>
      <c r="N5" s="6" t="s">
        <v>239</v>
      </c>
    </row>
    <row r="6" customFormat="false" ht="49.5" hidden="false" customHeight="true" outlineLevel="0" collapsed="false">
      <c r="A6" s="8" t="s">
        <v>214</v>
      </c>
      <c r="B6" s="6" t="s">
        <v>240</v>
      </c>
      <c r="C6" s="6" t="s">
        <v>241</v>
      </c>
      <c r="D6" s="6" t="s">
        <v>58</v>
      </c>
      <c r="E6" s="6" t="s">
        <v>242</v>
      </c>
      <c r="F6" s="6" t="s">
        <v>151</v>
      </c>
      <c r="G6" s="6" t="s">
        <v>243</v>
      </c>
      <c r="H6" s="6"/>
      <c r="I6" s="6"/>
      <c r="J6" s="6"/>
      <c r="K6" s="6" t="s">
        <v>244</v>
      </c>
      <c r="L6" s="6" t="s">
        <v>245</v>
      </c>
      <c r="M6" s="6" t="s">
        <v>23</v>
      </c>
      <c r="N6" s="6"/>
    </row>
    <row r="7" customFormat="false" ht="49.5" hidden="false" customHeight="true" outlineLevel="0" collapsed="false">
      <c r="A7" s="8" t="s">
        <v>214</v>
      </c>
      <c r="B7" s="6" t="s">
        <v>246</v>
      </c>
      <c r="C7" s="6" t="s">
        <v>233</v>
      </c>
      <c r="D7" s="6" t="s">
        <v>58</v>
      </c>
      <c r="E7" s="6" t="s">
        <v>234</v>
      </c>
      <c r="F7" s="6" t="s">
        <v>151</v>
      </c>
      <c r="G7" s="6" t="s">
        <v>247</v>
      </c>
      <c r="H7" s="6"/>
      <c r="I7" s="6" t="s">
        <v>248</v>
      </c>
      <c r="J7" s="6"/>
      <c r="K7" s="6" t="s">
        <v>249</v>
      </c>
      <c r="L7" s="6" t="s">
        <v>250</v>
      </c>
      <c r="M7" s="6" t="s">
        <v>23</v>
      </c>
      <c r="N7" s="6"/>
    </row>
    <row r="8" customFormat="false" ht="49.5" hidden="false" customHeight="true" outlineLevel="0" collapsed="false">
      <c r="A8" s="8" t="s">
        <v>214</v>
      </c>
      <c r="B8" s="6" t="s">
        <v>251</v>
      </c>
      <c r="C8" s="6" t="s">
        <v>252</v>
      </c>
      <c r="D8" s="6" t="s">
        <v>58</v>
      </c>
      <c r="E8" s="6" t="s">
        <v>253</v>
      </c>
      <c r="F8" s="6" t="s">
        <v>151</v>
      </c>
      <c r="G8" s="6" t="s">
        <v>254</v>
      </c>
      <c r="H8" s="6"/>
      <c r="I8" s="6"/>
      <c r="J8" s="6"/>
      <c r="K8" s="6" t="s">
        <v>255</v>
      </c>
      <c r="L8" s="6" t="s">
        <v>256</v>
      </c>
      <c r="M8" s="6" t="s">
        <v>23</v>
      </c>
      <c r="N8" s="6"/>
    </row>
    <row r="9" customFormat="false" ht="49.5" hidden="false" customHeight="true" outlineLevel="0" collapsed="false">
      <c r="A9" s="8" t="s">
        <v>214</v>
      </c>
      <c r="B9" s="6" t="s">
        <v>257</v>
      </c>
      <c r="C9" s="6" t="s">
        <v>67</v>
      </c>
      <c r="D9" s="6" t="s">
        <v>58</v>
      </c>
      <c r="E9" s="6" t="s">
        <v>253</v>
      </c>
      <c r="F9" s="6" t="s">
        <v>151</v>
      </c>
      <c r="G9" s="6" t="s">
        <v>258</v>
      </c>
      <c r="H9" s="6"/>
      <c r="I9" s="6"/>
      <c r="J9" s="6"/>
      <c r="K9" s="6" t="s">
        <v>259</v>
      </c>
      <c r="L9" s="6" t="s">
        <v>260</v>
      </c>
      <c r="M9" s="6" t="s">
        <v>23</v>
      </c>
      <c r="N9" s="6"/>
    </row>
    <row r="10" customFormat="false" ht="49.5" hidden="false" customHeight="true" outlineLevel="0" collapsed="false">
      <c r="A10" s="8" t="s">
        <v>214</v>
      </c>
      <c r="B10" s="6" t="s">
        <v>261</v>
      </c>
      <c r="C10" s="6" t="s">
        <v>58</v>
      </c>
      <c r="D10" s="6" t="s">
        <v>58</v>
      </c>
      <c r="E10" s="6" t="s">
        <v>253</v>
      </c>
      <c r="F10" s="6" t="s">
        <v>151</v>
      </c>
      <c r="G10" s="6" t="s">
        <v>262</v>
      </c>
      <c r="H10" s="6"/>
      <c r="I10" s="6"/>
      <c r="J10" s="6"/>
      <c r="K10" s="6" t="s">
        <v>263</v>
      </c>
      <c r="L10" s="6" t="s">
        <v>264</v>
      </c>
      <c r="M10" s="6" t="s">
        <v>23</v>
      </c>
      <c r="N10" s="6"/>
    </row>
    <row r="11" customFormat="false" ht="49.5" hidden="false" customHeight="true" outlineLevel="0" collapsed="false">
      <c r="A11" s="8" t="s">
        <v>214</v>
      </c>
      <c r="B11" s="6" t="s">
        <v>265</v>
      </c>
      <c r="C11" s="6" t="s">
        <v>58</v>
      </c>
      <c r="D11" s="6" t="s">
        <v>58</v>
      </c>
      <c r="E11" s="6" t="s">
        <v>266</v>
      </c>
      <c r="F11" s="6" t="s">
        <v>151</v>
      </c>
      <c r="G11" s="6" t="s">
        <v>267</v>
      </c>
      <c r="H11" s="6"/>
      <c r="I11" s="6"/>
      <c r="J11" s="6"/>
      <c r="K11" s="6" t="s">
        <v>268</v>
      </c>
      <c r="L11" s="6" t="s">
        <v>269</v>
      </c>
      <c r="M11" s="6" t="s">
        <v>23</v>
      </c>
      <c r="N11" s="6"/>
    </row>
    <row r="12" customFormat="false" ht="49.5" hidden="false" customHeight="true" outlineLevel="0" collapsed="false">
      <c r="A12" s="8" t="s">
        <v>214</v>
      </c>
      <c r="B12" s="6" t="s">
        <v>270</v>
      </c>
      <c r="C12" s="6" t="s">
        <v>271</v>
      </c>
      <c r="D12" s="6" t="s">
        <v>58</v>
      </c>
      <c r="E12" s="6" t="s">
        <v>272</v>
      </c>
      <c r="F12" s="6" t="s">
        <v>273</v>
      </c>
      <c r="G12" s="6" t="s">
        <v>274</v>
      </c>
      <c r="H12" s="6" t="s">
        <v>275</v>
      </c>
      <c r="I12" s="6" t="s">
        <v>276</v>
      </c>
      <c r="J12" s="6"/>
      <c r="K12" s="6" t="s">
        <v>277</v>
      </c>
      <c r="L12" s="6" t="s">
        <v>278</v>
      </c>
      <c r="M12" s="6" t="s">
        <v>23</v>
      </c>
      <c r="N12" s="6" t="s">
        <v>279</v>
      </c>
    </row>
    <row r="13" customFormat="false" ht="49.5" hidden="false" customHeight="true" outlineLevel="0" collapsed="false">
      <c r="A13" s="8" t="s">
        <v>214</v>
      </c>
      <c r="B13" s="6" t="s">
        <v>280</v>
      </c>
      <c r="C13" s="6" t="s">
        <v>233</v>
      </c>
      <c r="D13" s="6" t="s">
        <v>58</v>
      </c>
      <c r="E13" s="6" t="s">
        <v>281</v>
      </c>
      <c r="F13" s="6" t="s">
        <v>209</v>
      </c>
      <c r="G13" s="6"/>
      <c r="H13" s="6"/>
      <c r="I13" s="6"/>
      <c r="J13" s="6"/>
      <c r="K13" s="6" t="s">
        <v>282</v>
      </c>
      <c r="L13" s="6" t="s">
        <v>283</v>
      </c>
      <c r="M13" s="6" t="s">
        <v>23</v>
      </c>
      <c r="N13" s="6" t="s">
        <v>284</v>
      </c>
    </row>
    <row r="14" customFormat="false" ht="49.5" hidden="false" customHeight="true" outlineLevel="0" collapsed="false">
      <c r="A14" s="8" t="s">
        <v>214</v>
      </c>
      <c r="B14" s="6" t="s">
        <v>285</v>
      </c>
      <c r="C14" s="6" t="s">
        <v>233</v>
      </c>
      <c r="D14" s="6" t="s">
        <v>58</v>
      </c>
      <c r="E14" s="6" t="s">
        <v>286</v>
      </c>
      <c r="F14" s="6" t="s">
        <v>151</v>
      </c>
      <c r="G14" s="6"/>
      <c r="H14" s="6"/>
      <c r="I14" s="6"/>
      <c r="J14" s="6"/>
      <c r="K14" s="6" t="s">
        <v>287</v>
      </c>
      <c r="L14" s="6" t="s">
        <v>283</v>
      </c>
      <c r="M14" s="6" t="s">
        <v>23</v>
      </c>
      <c r="N14" s="6"/>
    </row>
    <row r="15" customFormat="false" ht="49.5" hidden="false" customHeight="true" outlineLevel="0" collapsed="false">
      <c r="A15" s="8" t="s">
        <v>214</v>
      </c>
      <c r="B15" s="6" t="s">
        <v>288</v>
      </c>
      <c r="C15" s="6" t="s">
        <v>233</v>
      </c>
      <c r="D15" s="6" t="s">
        <v>58</v>
      </c>
      <c r="E15" s="6" t="s">
        <v>289</v>
      </c>
      <c r="F15" s="6" t="s">
        <v>151</v>
      </c>
      <c r="G15" s="6"/>
      <c r="H15" s="6"/>
      <c r="I15" s="6"/>
      <c r="J15" s="6"/>
      <c r="K15" s="6" t="s">
        <v>290</v>
      </c>
      <c r="L15" s="6" t="s">
        <v>283</v>
      </c>
      <c r="M15" s="6" t="s">
        <v>23</v>
      </c>
      <c r="N15" s="6" t="s">
        <v>291</v>
      </c>
    </row>
    <row r="16" customFormat="false" ht="49.5" hidden="false" customHeight="true" outlineLevel="0" collapsed="false">
      <c r="A16" s="8" t="s">
        <v>214</v>
      </c>
      <c r="B16" s="6" t="s">
        <v>292</v>
      </c>
      <c r="C16" s="6" t="s">
        <v>293</v>
      </c>
      <c r="D16" s="6" t="s">
        <v>58</v>
      </c>
      <c r="E16" s="6" t="s">
        <v>294</v>
      </c>
      <c r="F16" s="6" t="s">
        <v>151</v>
      </c>
      <c r="G16" s="6"/>
      <c r="H16" s="6"/>
      <c r="I16" s="6"/>
      <c r="J16" s="6"/>
      <c r="K16" s="6" t="s">
        <v>295</v>
      </c>
      <c r="L16" s="6" t="s">
        <v>296</v>
      </c>
      <c r="M16" s="6" t="s">
        <v>23</v>
      </c>
      <c r="N16" s="6"/>
    </row>
    <row r="17" customFormat="false" ht="49.5" hidden="false" customHeight="true" outlineLevel="0" collapsed="false">
      <c r="A17" s="8" t="s">
        <v>214</v>
      </c>
      <c r="B17" s="6" t="s">
        <v>297</v>
      </c>
      <c r="C17" s="6" t="s">
        <v>293</v>
      </c>
      <c r="D17" s="6" t="s">
        <v>58</v>
      </c>
      <c r="E17" s="6" t="s">
        <v>298</v>
      </c>
      <c r="F17" s="6" t="s">
        <v>151</v>
      </c>
      <c r="G17" s="6"/>
      <c r="H17" s="6"/>
      <c r="I17" s="6"/>
      <c r="J17" s="6"/>
      <c r="K17" s="6" t="s">
        <v>299</v>
      </c>
      <c r="L17" s="6" t="s">
        <v>296</v>
      </c>
      <c r="M17" s="6" t="s">
        <v>23</v>
      </c>
      <c r="N17" s="6"/>
    </row>
    <row r="18" customFormat="false" ht="49.5" hidden="false" customHeight="true" outlineLevel="0" collapsed="false">
      <c r="A18" s="8" t="s">
        <v>214</v>
      </c>
      <c r="B18" s="6" t="s">
        <v>300</v>
      </c>
      <c r="C18" s="6" t="s">
        <v>293</v>
      </c>
      <c r="D18" s="6" t="s">
        <v>58</v>
      </c>
      <c r="E18" s="6" t="s">
        <v>301</v>
      </c>
      <c r="F18" s="6" t="s">
        <v>151</v>
      </c>
      <c r="G18" s="6"/>
      <c r="H18" s="6"/>
      <c r="I18" s="6"/>
      <c r="J18" s="6"/>
      <c r="K18" s="6" t="s">
        <v>302</v>
      </c>
      <c r="L18" s="6" t="s">
        <v>201</v>
      </c>
      <c r="M18" s="6" t="s">
        <v>23</v>
      </c>
      <c r="N18" s="6"/>
    </row>
    <row r="19" customFormat="false" ht="49.5" hidden="false" customHeight="true" outlineLevel="0" collapsed="false">
      <c r="A19" s="8" t="s">
        <v>214</v>
      </c>
      <c r="B19" s="6" t="s">
        <v>303</v>
      </c>
      <c r="C19" s="6" t="s">
        <v>67</v>
      </c>
      <c r="D19" s="6" t="s">
        <v>58</v>
      </c>
      <c r="E19" s="6" t="s">
        <v>304</v>
      </c>
      <c r="F19" s="6" t="s">
        <v>209</v>
      </c>
      <c r="G19" s="6" t="s">
        <v>305</v>
      </c>
      <c r="H19" s="6"/>
      <c r="I19" s="6"/>
      <c r="J19" s="6"/>
      <c r="K19" s="6" t="s">
        <v>306</v>
      </c>
      <c r="L19" s="6" t="s">
        <v>307</v>
      </c>
      <c r="M19" s="6" t="s">
        <v>23</v>
      </c>
      <c r="N19" s="6" t="s">
        <v>308</v>
      </c>
    </row>
    <row r="20" customFormat="false" ht="49.5" hidden="false" customHeight="true" outlineLevel="0" collapsed="false">
      <c r="A20" s="8" t="s">
        <v>214</v>
      </c>
      <c r="B20" s="6" t="s">
        <v>309</v>
      </c>
      <c r="C20" s="6" t="s">
        <v>67</v>
      </c>
      <c r="D20" s="6" t="s">
        <v>58</v>
      </c>
      <c r="E20" s="6" t="s">
        <v>310</v>
      </c>
      <c r="F20" s="6" t="s">
        <v>151</v>
      </c>
      <c r="G20" s="6" t="s">
        <v>311</v>
      </c>
      <c r="H20" s="6"/>
      <c r="I20" s="6"/>
      <c r="J20" s="6"/>
      <c r="K20" s="6" t="s">
        <v>312</v>
      </c>
      <c r="L20" s="6" t="s">
        <v>313</v>
      </c>
      <c r="M20" s="6" t="s">
        <v>23</v>
      </c>
      <c r="N20" s="6"/>
    </row>
    <row r="21" customFormat="false" ht="49.5" hidden="false" customHeight="true" outlineLevel="0" collapsed="false">
      <c r="A21" s="8" t="s">
        <v>214</v>
      </c>
      <c r="B21" s="6" t="s">
        <v>314</v>
      </c>
      <c r="C21" s="6" t="s">
        <v>58</v>
      </c>
      <c r="D21" s="6" t="s">
        <v>58</v>
      </c>
      <c r="E21" s="6" t="s">
        <v>315</v>
      </c>
      <c r="F21" s="6" t="s">
        <v>151</v>
      </c>
      <c r="G21" s="6"/>
      <c r="H21" s="6"/>
      <c r="I21" s="6"/>
      <c r="J21" s="6"/>
      <c r="K21" s="6" t="s">
        <v>316</v>
      </c>
      <c r="L21" s="6" t="s">
        <v>201</v>
      </c>
      <c r="M21" s="6" t="s">
        <v>23</v>
      </c>
      <c r="N21" s="6"/>
    </row>
    <row r="22" customFormat="false" ht="49.5" hidden="false" customHeight="true" outlineLevel="0" collapsed="false">
      <c r="A22" s="8" t="s">
        <v>214</v>
      </c>
      <c r="B22" s="6" t="s">
        <v>317</v>
      </c>
      <c r="C22" s="6" t="s">
        <v>58</v>
      </c>
      <c r="D22" s="6" t="s">
        <v>58</v>
      </c>
      <c r="E22" s="6" t="s">
        <v>318</v>
      </c>
      <c r="F22" s="6" t="s">
        <v>151</v>
      </c>
      <c r="G22" s="6"/>
      <c r="H22" s="6"/>
      <c r="I22" s="6"/>
      <c r="J22" s="6"/>
      <c r="K22" s="6" t="s">
        <v>319</v>
      </c>
      <c r="L22" s="6" t="s">
        <v>201</v>
      </c>
      <c r="M22" s="6" t="s">
        <v>23</v>
      </c>
      <c r="N22" s="6"/>
    </row>
    <row r="23" customFormat="false" ht="49.5" hidden="false" customHeight="true" outlineLevel="0" collapsed="false">
      <c r="A23" s="8" t="s">
        <v>214</v>
      </c>
      <c r="B23" s="6" t="s">
        <v>320</v>
      </c>
      <c r="C23" s="6" t="s">
        <v>58</v>
      </c>
      <c r="D23" s="6" t="s">
        <v>58</v>
      </c>
      <c r="E23" s="6" t="s">
        <v>321</v>
      </c>
      <c r="F23" s="6" t="s">
        <v>151</v>
      </c>
      <c r="G23" s="6"/>
      <c r="H23" s="6"/>
      <c r="I23" s="6"/>
      <c r="J23" s="6"/>
      <c r="K23" s="6" t="s">
        <v>322</v>
      </c>
      <c r="L23" s="6" t="s">
        <v>201</v>
      </c>
      <c r="M23" s="6" t="s">
        <v>23</v>
      </c>
      <c r="N23" s="6"/>
    </row>
    <row r="24" customFormat="false" ht="49.5" hidden="false" customHeight="true" outlineLevel="0" collapsed="false">
      <c r="A24" s="8" t="s">
        <v>214</v>
      </c>
      <c r="B24" s="6" t="s">
        <v>323</v>
      </c>
      <c r="C24" s="6" t="s">
        <v>324</v>
      </c>
      <c r="D24" s="6" t="s">
        <v>58</v>
      </c>
      <c r="E24" s="6" t="s">
        <v>325</v>
      </c>
      <c r="F24" s="6" t="s">
        <v>151</v>
      </c>
      <c r="G24" s="6"/>
      <c r="H24" s="6"/>
      <c r="I24" s="6"/>
      <c r="J24" s="6" t="s">
        <v>326</v>
      </c>
      <c r="K24" s="6" t="s">
        <v>327</v>
      </c>
      <c r="L24" s="6" t="s">
        <v>50</v>
      </c>
      <c r="M24" s="6" t="s">
        <v>23</v>
      </c>
      <c r="N24" s="6" t="s">
        <v>328</v>
      </c>
    </row>
  </sheetData>
  <autoFilter ref="A2:N24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2" t="s">
        <v>332</v>
      </c>
      <c r="B1" s="12"/>
      <c r="C1" s="12"/>
    </row>
    <row r="3" customFormat="false" ht="15" hidden="false" customHeight="false" outlineLevel="0" collapsed="false">
      <c r="A3" s="13" t="s">
        <v>53</v>
      </c>
      <c r="B3" s="13" t="s">
        <v>333</v>
      </c>
      <c r="C3" s="13" t="s">
        <v>334</v>
      </c>
      <c r="E3" s="13" t="s">
        <v>41</v>
      </c>
      <c r="F3" s="13" t="s">
        <v>333</v>
      </c>
    </row>
    <row r="4" customFormat="false" ht="15" hidden="false" customHeight="false" outlineLevel="0" collapsed="false">
      <c r="A4" s="14" t="s">
        <v>23</v>
      </c>
      <c r="B4" s="14" t="n">
        <f aca="false">COUNTIF(Agencies!M:M,"Not contacted")</f>
        <v>51</v>
      </c>
      <c r="C4" s="15" t="n">
        <f aca="false">IFERROR(B4/$B$12,0)</f>
        <v>1</v>
      </c>
      <c r="E4" s="14" t="s">
        <v>335</v>
      </c>
      <c r="F4" s="14" t="n">
        <f aca="false">COUNTIF(Agencies!A:A,"A")</f>
        <v>13</v>
      </c>
    </row>
    <row r="5" customFormat="false" ht="15" hidden="false" customHeight="false" outlineLevel="0" collapsed="false">
      <c r="A5" s="14" t="s">
        <v>25</v>
      </c>
      <c r="B5" s="14" t="n">
        <f aca="false">COUNTIF(Agencies!M:M,"Researching")</f>
        <v>0</v>
      </c>
      <c r="C5" s="15" t="n">
        <f aca="false">IFERROR(B5/$B$12,0)</f>
        <v>0</v>
      </c>
      <c r="E5" s="14" t="s">
        <v>336</v>
      </c>
      <c r="F5" s="14" t="n">
        <f aca="false">COUNTIF(Agencies!A:A,"B")</f>
        <v>16</v>
      </c>
    </row>
    <row r="6" customFormat="false" ht="15" hidden="false" customHeight="false" outlineLevel="0" collapsed="false">
      <c r="A6" s="14" t="s">
        <v>27</v>
      </c>
      <c r="B6" s="14" t="n">
        <f aca="false">COUNTIF(Agencies!M:M,"Contacted")</f>
        <v>0</v>
      </c>
      <c r="C6" s="15" t="n">
        <f aca="false">IFERROR(B6/$B$12,0)</f>
        <v>0</v>
      </c>
      <c r="E6" s="14" t="s">
        <v>337</v>
      </c>
      <c r="F6" s="14" t="n">
        <f aca="false">COUNTIF(Agencies!A:A,"C")</f>
        <v>22</v>
      </c>
    </row>
    <row r="7" customFormat="false" ht="15" hidden="false" customHeight="false" outlineLevel="0" collapsed="false">
      <c r="A7" s="14" t="s">
        <v>29</v>
      </c>
      <c r="B7" s="14" t="n">
        <f aca="false">COUNTIF(Agencies!M:M,"Replied")</f>
        <v>0</v>
      </c>
      <c r="C7" s="15" t="n">
        <f aca="false">IFERROR(B7/$B$12,0)</f>
        <v>0</v>
      </c>
    </row>
    <row r="8" customFormat="false" ht="15" hidden="false" customHeight="false" outlineLevel="0" collapsed="false">
      <c r="A8" s="14" t="s">
        <v>31</v>
      </c>
      <c r="B8" s="14" t="n">
        <f aca="false">COUNTIF(Agencies!M:M,"Meeting booked")</f>
        <v>0</v>
      </c>
      <c r="C8" s="15" t="n">
        <f aca="false">IFERROR(B8/$B$12,0)</f>
        <v>0</v>
      </c>
    </row>
    <row r="9" customFormat="false" ht="15" hidden="false" customHeight="false" outlineLevel="0" collapsed="false">
      <c r="A9" s="14" t="s">
        <v>33</v>
      </c>
      <c r="B9" s="14" t="n">
        <f aca="false">COUNTIF(Agencies!M:M,"Pilot")</f>
        <v>0</v>
      </c>
      <c r="C9" s="15" t="n">
        <f aca="false">IFERROR(B9/$B$12,0)</f>
        <v>0</v>
      </c>
    </row>
    <row r="10" customFormat="false" ht="15" hidden="false" customHeight="false" outlineLevel="0" collapsed="false">
      <c r="A10" s="14" t="s">
        <v>35</v>
      </c>
      <c r="B10" s="14" t="n">
        <f aca="false">COUNTIF(Agencies!M:M,"Customer")</f>
        <v>0</v>
      </c>
      <c r="C10" s="15" t="n">
        <f aca="false">IFERROR(B10/$B$12,0)</f>
        <v>0</v>
      </c>
    </row>
    <row r="11" customFormat="false" ht="15" hidden="false" customHeight="false" outlineLevel="0" collapsed="false">
      <c r="A11" s="14" t="s">
        <v>37</v>
      </c>
      <c r="B11" s="14" t="n">
        <f aca="false">COUNTIF(Agencies!M:M,"Not a fit")</f>
        <v>0</v>
      </c>
      <c r="C11" s="15" t="n">
        <f aca="false">IFERROR(B11/$B$12,0)</f>
        <v>0</v>
      </c>
    </row>
    <row r="12" customFormat="false" ht="15" hidden="false" customHeight="false" outlineLevel="0" collapsed="false">
      <c r="A12" s="16" t="s">
        <v>338</v>
      </c>
      <c r="B12" s="16" t="n">
        <f aca="false">SUM(B4:B11)</f>
        <v>51</v>
      </c>
      <c r="C12" s="17" t="n">
        <f aca="false">IFERROR(B12/B12,0)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2026-04-29T10:47:04Z</dcterms:created>
  <dc:creator>openpyxl</dc:creator>
  <dc:description/>
  <dc:language>en-US</dc:language>
  <cp:lastModifiedBy/>
  <dcterms:modified xsi:type="dcterms:W3CDTF">2026-04-29T10:47:04Z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