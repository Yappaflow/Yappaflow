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rategy" sheetId="1" state="visible" r:id="rId3"/>
    <sheet name="Playbook" sheetId="2" state="visible" r:id="rId4"/>
    <sheet name="Calendar" sheetId="3" state="visible" r:id="rId5"/>
    <sheet name="Hooks" sheetId="4" state="visible" r:id="rId6"/>
    <sheet name="Influencers" sheetId="5" state="visible" r:id="rId7"/>
    <sheet name="Scripts" sheetId="6" state="visible" r:id="rId8"/>
    <sheet name="Budg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<sst xmlns="http://schemas.openxmlformats.org/spreadsheetml/2006/main" count="1238" uniqueCount="965">
  <si>
    <t xml:space="preserve">Yappaflow — pazarlama stratejisi (12 aylık)</t>
  </si>
  <si>
    <t xml:space="preserve">Signal'den ana sayfaya: kullanıcı kahvesini içerken sohbet ediyor, bitiminde elinde çalışan bir static site ZIP'i oluyor. Bu belge Yappaflow'un organik sosyal + influencer + topluluk büyüme planıdır. İlk 90 gün content-led launch, sonraki 9 ay content + partnership flywheel.</t>
  </si>
  <si>
    <t xml:space="preserve">Konumlandırma (Positioning)</t>
  </si>
  <si>
    <t xml:space="preserve">One-liner (TR)</t>
  </si>
  <si>
    <t xml:space="preserve">Signal'de anlatıyorsun, Yappaflow ana sayfanı kuruyor — kahven soğumadan deploy-ready ZIP senin.</t>
  </si>
  <si>
    <t xml:space="preserve">One-liner (EN)</t>
  </si>
  <si>
    <t xml:space="preserve">Tell your business story in Signal. Yappaflow ships a deploy-ready static website before your coffee cools.</t>
  </si>
  <si>
    <t xml:space="preserve">Elevator pitch</t>
  </si>
  <si>
    <t xml:space="preserve">Yappaflow, freelancer ve küçük ajansların en büyük zaman kaybını (brief alma + ilk sayfa kurma) Signal sohbetine indiriyor. Müşteri yazıyor, AI kimliği çıkarıyor, Yappaflow statik site üretip ZIP olarak veriyor. İlk draft dakikalar içinde, hosting opsiyonel.</t>
  </si>
  <si>
    <t xml:space="preserve">Ana rakipler</t>
  </si>
  <si>
    <t xml:space="preserve">Wix / Squarespace / Hostinger AI Builder / Durable. Farkımız: Türkçe-first, sohbet kaynaklı brief, ZIP ownership (lock-in yok).</t>
  </si>
  <si>
    <t xml:space="preserve">Neden şimdi?</t>
  </si>
  <si>
    <t xml:space="preserve">Solo freelancer + 2-8 kişilik ajans pazarı Türkiye'de patlıyor; Teknopark İzmir + Samsun OSB hızla büyüyor. SMB'ler 'Instagram + statik site' kombinasyonuyla yaşıyor — bu statik site kısmını otomatikleştirmek büyük değer.</t>
  </si>
  <si>
    <t xml:space="preserve">Brand voice</t>
  </si>
  <si>
    <t xml:space="preserve">Sıcak, Türkçe-first, abartısız, teknik ama jargon-az. Hype yok; 'çalışan site' göster. build-in-public enerjisi.</t>
  </si>
  <si>
    <t xml:space="preserve">Ideal Customer Profile (ICP)</t>
  </si>
  <si>
    <t xml:space="preserve">Segment</t>
  </si>
  <si>
    <t xml:space="preserve">Kim</t>
  </si>
  <si>
    <t xml:space="preserve">Acı nokta</t>
  </si>
  <si>
    <t xml:space="preserve">Kanal (nerede bulurum)</t>
  </si>
  <si>
    <t xml:space="preserve">Mesaj açısı</t>
  </si>
  <si>
    <t xml:space="preserve">İlk 90 günde hedef</t>
  </si>
  <si>
    <t xml:space="preserve">S1 Solo freelancer (Tier-2 şehirler)</t>
  </si>
  <si>
    <t xml:space="preserve">22-35 yaş, WordPress/HTML ile site yapıp 8-25k ₺ kesen tek kişi. Samsun, Kayseri, Trabzon, Sakarya, Eskişehir.</t>
  </si>
  <si>
    <t xml:space="preserve">Her brief 2-3 gün sürüyor; müşteri değişikliği için tekrar zaman kaybediyor. Fiyat baskısı.</t>
  </si>
  <si>
    <t xml:space="preserve">LinkedIn, YouTube (Murat Yücedağ / Adem İlter / Selman Kâhya), bionluk, Behance, Discord (patika.dev), Telegram gruplari</t>
  </si>
  <si>
    <t xml:space="preserve">'Brief'i Signal'de al, sabah uyanmadan ilk site ZIP'i hazır olsun — müşteri sana para saysın, sen yönet.'</t>
  </si>
  <si>
    <t xml:space="preserve">500 freelancer Yappaflow'u denedi, 50 aktif kullanıcı.</t>
  </si>
  <si>
    <t xml:space="preserve">S2 2-8 kişilik ajans</t>
  </si>
  <si>
    <t xml:space="preserve">Sahip + 2-3 developer + 1-2 tasarımcı. Aylık 10-30 proje. İstanbul + İzmir + Ankara yoğunluklu; Tier-2 şehirlerde de büyüyor.</t>
  </si>
  <si>
    <t xml:space="preserve">Briefler tutarsız, junior'lar ilk sayfayı 2 günde çıkarıyor, sahip sürekli revize ediyor.</t>
  </si>
  <si>
    <t xml:space="preserve">LinkedIn (Yiğit Konur, Baran Cezayirli), Twitter/X TR tech circle, Kommunity etkinlikleri, Teknopark etkinlikleri</t>
  </si>
  <si>
    <t xml:space="preserve">'Yappaflow, junior'larının ilk sayfayı 30 dakikaya indirmesini sağlar. Agency margin'i artar.'</t>
  </si>
  <si>
    <t xml:space="preserve">20 ajans demo izledi, 5 ödeme yapan ajans.</t>
  </si>
  <si>
    <t xml:space="preserve">S3 SMB sahibi / küçük işletme</t>
  </si>
  <si>
    <t xml:space="preserve">Kafe, butik, mimar, klinik, eğitim kursu sahibi. Instagram'da var ama kendi siteleri yok.</t>
  </si>
  <si>
    <t xml:space="preserve">'Web sitem olsa iyi olur ama hangi freelancer'a güveneyim? 15k ₺ de vermek istemiyorum.'</t>
  </si>
  <si>
    <t xml:space="preserve">Instagram, TikTok (küçük işletme hesapları), yerel Facebook grupları, Google 'X şehri web sitesi' araması, esnaf odası</t>
  </si>
  <si>
    <t xml:space="preserve">'Telefonundaki Signal'de sohbet et. Yappaflow işletmenin sitesini yazıyor — 0 ₺ ile başla, beğenirsen host et.'</t>
  </si>
  <si>
    <t xml:space="preserve">100 SMB self-serve aktif hesap (freemium → paid conv).</t>
  </si>
  <si>
    <t xml:space="preserve">3 içerik sütunu (content pillars)</t>
  </si>
  <si>
    <t xml:space="preserve">Sütun</t>
  </si>
  <si>
    <t xml:space="preserve">Ne</t>
  </si>
  <si>
    <t xml:space="preserve">Neden işe yarar</t>
  </si>
  <si>
    <t xml:space="preserve">Örnek başlıklar</t>
  </si>
  <si>
    <t xml:space="preserve">Ağırlık (%)</t>
  </si>
  <si>
    <t xml:space="preserve">P1 Build-in-public</t>
  </si>
  <si>
    <t xml:space="preserve">Haftalık 'bu hafta Yappaflow'da neyi ekledik, neyi kırdık' postları + kısa video klipler.</t>
  </si>
  <si>
    <t xml:space="preserve">Freelancer'lar kurucuyla ilişki kurmaya bayılır. Ürün-güveni erkenden kurar, launch momentum verir.</t>
  </si>
  <si>
    <t xml:space="preserve">'Bugün Signal webhook'u 3. kez kırdım, şu şekilde çözdüm'; 'Haftalık MRR grafiği'; 'Ajans X ilk siteyi deploy etti'</t>
  </si>
  <si>
    <t xml:space="preserve">35</t>
  </si>
  <si>
    <t xml:space="preserve">P2 Mikro eğitimler (how-to)</t>
  </si>
  <si>
    <t xml:space="preserve">Belirli bir sorun için 60-90 saniyelik TR video / LinkedIn post: 'Freelancer olarak bu akşam 3 site nasıl teslim edilir?', 'Brief'i Signal'de nasıl yazdırırım?'</t>
  </si>
  <si>
    <t xml:space="preserve">SEO/algoritma dostu, yeni kullanıcıyı doğrudan ürüne taşır. Kaydedilebilir içerik = uzun kuyruk.</t>
  </si>
  <si>
    <t xml:space="preserve">'Signal bot ile 15 dakikada landing page'; 'SMB için 0 kod statik site'; 'ZIP'i Netlify'a 90 saniyede deploy'</t>
  </si>
  <si>
    <t xml:space="preserve">40</t>
  </si>
  <si>
    <t xml:space="preserve">P3 Topluluk + partnership</t>
  </si>
  <si>
    <t xml:space="preserve">Patika/Kommunity AMA'lar, Samsun+İzmir meetup'lar, YouTuber entegrasyon videoları, newsletter swap.</t>
  </si>
  <si>
    <t xml:space="preserve">Uzun vadeli organik huni. Bir influencer 25k kişiye ulaşırken biz 3 farklı yerde görünürüz.</t>
  </si>
  <si>
    <t xml:space="preserve">'Murat Yücedağ x Yappaflow WordPress'ten ZIP'e 1-tık'; 'Teknopark İzmir meetup'; 'Turks in Tech newsletter mention'</t>
  </si>
  <si>
    <t xml:space="preserve">25</t>
  </si>
  <si>
    <t xml:space="preserve">Toplam</t>
  </si>
  <si>
    <t xml:space="preserve">12 aylık hedef çıktılar</t>
  </si>
  <si>
    <t xml:space="preserve">Metrik</t>
  </si>
  <si>
    <t xml:space="preserve">Q1 (Ay 1-3)</t>
  </si>
  <si>
    <t xml:space="preserve">Q2 (Ay 4-6)</t>
  </si>
  <si>
    <t xml:space="preserve">Q3 (Ay 7-9)</t>
  </si>
  <si>
    <t xml:space="preserve">Q4 (Ay 10-12)</t>
  </si>
  <si>
    <t xml:space="preserve">Not</t>
  </si>
  <si>
    <t xml:space="preserve">LinkedIn takipçi</t>
  </si>
  <si>
    <t xml:space="preserve">Yusuf + Yappaflow company page birlikte</t>
  </si>
  <si>
    <t xml:space="preserve">Twitter/X takipçi</t>
  </si>
  <si>
    <t xml:space="preserve">Türk dev/founder çevresi</t>
  </si>
  <si>
    <t xml:space="preserve">Instagram takipçi</t>
  </si>
  <si>
    <t xml:space="preserve">Reels odaklı; SMB segmenti</t>
  </si>
  <si>
    <t xml:space="preserve">TikTok takipçi</t>
  </si>
  <si>
    <t xml:space="preserve">Quick how-to, build-in-public</t>
  </si>
  <si>
    <t xml:space="preserve">YouTube subs (opsiyonel)</t>
  </si>
  <si>
    <t xml:space="preserve">Long-form tutorial; haftalık 1 video</t>
  </si>
  <si>
    <t xml:space="preserve">Newsletter abonesi</t>
  </si>
  <si>
    <t xml:space="preserve">Substack'te Türkçe + EN</t>
  </si>
  <si>
    <t xml:space="preserve">Demo izleyen kişi</t>
  </si>
  <si>
    <t xml:space="preserve">Landing page video + webinar</t>
  </si>
  <si>
    <t xml:space="preserve">Aktif ücretli müşteri</t>
  </si>
  <si>
    <t xml:space="preserve">Freelancer + ajans + SMB hepsi dahil</t>
  </si>
  <si>
    <t xml:space="preserve">Case study yayınlanan</t>
  </si>
  <si>
    <t xml:space="preserve">Samsun + İzmir ilk 5 case; video version'lar</t>
  </si>
  <si>
    <t xml:space="preserve">Influencer kolabı</t>
  </si>
  <si>
    <t xml:space="preserve">YouTube + LinkedIn karışık</t>
  </si>
  <si>
    <t xml:space="preserve">Platform Playbook — kanal bazlı oyun kitabı</t>
  </si>
  <si>
    <t xml:space="preserve">Her platformun kendi dili, cadence'i ve 'kazanma' tanımı var. Bu tablo Yusuf'un ve Yappaflow hesabının haftalık olarak ne yapacağına baktığı tek panodur. Kopya-yapıştır içerik yok — her kanalda nitelik hedefi ve KPI yanında duruyor.</t>
  </si>
  <si>
    <t xml:space="preserve">Platform</t>
  </si>
  <si>
    <t xml:space="preserve">Hedef kitle</t>
  </si>
  <si>
    <t xml:space="preserve">Cadence (haftalık)</t>
  </si>
  <si>
    <t xml:space="preserve">Format</t>
  </si>
  <si>
    <t xml:space="preserve">Ton / dil</t>
  </si>
  <si>
    <t xml:space="preserve">Pillar ağırlığı</t>
  </si>
  <si>
    <t xml:space="preserve">CTA</t>
  </si>
  <si>
    <t xml:space="preserve">Birincil KPI</t>
  </si>
  <si>
    <t xml:space="preserve">Red flags</t>
  </si>
  <si>
    <t xml:space="preserve">LinkedIn (Yusuf kişisel)</t>
  </si>
  <si>
    <t xml:space="preserve">2-8 kişilik ajans sahipleri + senior freelancer + Türk tech yatırımcı</t>
  </si>
  <si>
    <t xml:space="preserve">3 post + 2 yorum seansı/gün + 1 carousel</t>
  </si>
  <si>
    <t xml:space="preserve">Metin post (&gt;900 karakter), carousel PDF, kısa native video</t>
  </si>
  <si>
    <t xml:space="preserve">Kişisel, build-in-public, Türkçe+İngilizce dengesi (%70 TR)</t>
  </si>
  <si>
    <t xml:space="preserve">P1 %50 / P2 %35 / P3 %15</t>
  </si>
  <si>
    <t xml:space="preserve">DM → 15 dk demo çağrısı</t>
  </si>
  <si>
    <t xml:space="preserve">Post impression &gt; 3000, DM'den demo &gt; 2/hafta</t>
  </si>
  <si>
    <t xml:space="preserve">Ajanda-olmayan motivational post, 'LinkedIn post yazar AI' tuzağı</t>
  </si>
  <si>
    <t xml:space="preserve">LinkedIn (Yappaflow company page)</t>
  </si>
  <si>
    <t xml:space="preserve">Ajans + SMB karar vericileri</t>
  </si>
  <si>
    <t xml:space="preserve">3 post/hafta, 1 canlı yayın (aylık)</t>
  </si>
  <si>
    <t xml:space="preserve">Case study, müşteri sözü, ürün güncelleme, ekran kaydı</t>
  </si>
  <si>
    <t xml:space="preserve">Kurumsal-sıcak, case-first. Hep Türkçe.</t>
  </si>
  <si>
    <t xml:space="preserve">P1 %30 / P2 %40 / P3 %30</t>
  </si>
  <si>
    <t xml:space="preserve">Demo → ücretsiz hesap</t>
  </si>
  <si>
    <t xml:space="preserve">Page takipçi büyüme %/ay, landing CTR</t>
  </si>
  <si>
    <t xml:space="preserve">Kurucu hesabıyla aynı içeriği tekrarlamak</t>
  </si>
  <si>
    <t xml:space="preserve">Twitter / X</t>
  </si>
  <si>
    <t xml:space="preserve">Türk dev/founder çevresi + Avrupa indie-hacker kitlesi</t>
  </si>
  <si>
    <t xml:space="preserve">15-25 tweet/hafta (thread dahil)</t>
  </si>
  <si>
    <t xml:space="preserve">Tek-tweet build-in-public, haftalık thread, ekran kaydı GIF</t>
  </si>
  <si>
    <t xml:space="preserve">Samimi, teknik, kısa. Türkçe + İngilizce karışık.</t>
  </si>
  <si>
    <t xml:space="preserve">P1 %55 / P2 %30 / P3 %15</t>
  </si>
  <si>
    <t xml:space="preserve">Profildeki link → Signal bot dene</t>
  </si>
  <si>
    <t xml:space="preserve">Thread impression &gt; 20k, waitlist signup &gt; 30/hafta</t>
  </si>
  <si>
    <t xml:space="preserve">TR tech drama'sına dalmak, spam quote-tweet</t>
  </si>
  <si>
    <t xml:space="preserve">Instagram</t>
  </si>
  <si>
    <t xml:space="preserve">SMB sahipleri (kafe, butik, klinik), junior tasarımcılar</t>
  </si>
  <si>
    <t xml:space="preserve">5 reels + 3 story + 1 carousel/hafta</t>
  </si>
  <si>
    <t xml:space="preserve">30-60 sn reels, before/after statik site, 'müşteri konuşturdum, site geldi' klipleri</t>
  </si>
  <si>
    <t xml:space="preserve">Görsel-ağırlıklı, tamamen Türkçe, duygusal aç</t>
  </si>
  <si>
    <t xml:space="preserve">P1 %20 / P2 %55 / P3 %25</t>
  </si>
  <si>
    <t xml:space="preserve">Bio'da link → WhatsApp/Signal deneme</t>
  </si>
  <si>
    <t xml:space="preserve">Reels saves+share oranı &gt; %3, profil ziyaret &gt; 2k/hafta</t>
  </si>
  <si>
    <t xml:space="preserve">Sadece text slide post; IG algoritması cezalandırıyor</t>
  </si>
  <si>
    <t xml:space="preserve">TikTok</t>
  </si>
  <si>
    <t xml:space="preserve">22-30 yaş freelancer, junior dev, SMB meraklısı</t>
  </si>
  <si>
    <t xml:space="preserve">7-10 klip/hafta (küçük çapta sıklık KRİTİK)</t>
  </si>
  <si>
    <t xml:space="preserve">Pure screen recording + subtitle, 'brief'ten siteye 15 saniye', canlı hata</t>
  </si>
  <si>
    <t xml:space="preserve">Hype-az, eğitsel, subtitle ile Türkçe</t>
  </si>
  <si>
    <t xml:space="preserve">P1 %30 / P2 %60 / P3 %10</t>
  </si>
  <si>
    <t xml:space="preserve">Bio → landing + sabit pinned video</t>
  </si>
  <si>
    <t xml:space="preserve">Ortalama view &gt; 5k, kaydedilme oranı &gt; %2</t>
  </si>
  <si>
    <t xml:space="preserve">Trend sound baglantısızken sırf trend olsun diye kullanmak</t>
  </si>
  <si>
    <t xml:space="preserve">YouTube (long-form)</t>
  </si>
  <si>
    <t xml:space="preserve">Freelancer + öğrenci dev + ajans junior'ları</t>
  </si>
  <si>
    <t xml:space="preserve">1 video/hafta (10-18 dk), ayda 1 canlı yayın</t>
  </si>
  <si>
    <t xml:space="preserve">'Canlı brief'ten ZIP'e' tutorial'ları, karşılaştırma videoları (vs Wix / Durable)</t>
  </si>
  <si>
    <t xml:space="preserve">Ekran+kamera, Türkçe, eğitsel</t>
  </si>
  <si>
    <t xml:space="preserve">P1 %15 / P2 %70 / P3 %15</t>
  </si>
  <si>
    <t xml:space="preserve">Açıklama → Signal bot + ücretsiz deneme</t>
  </si>
  <si>
    <t xml:space="preserve">Izlenme süresi &gt; %50, abone büyüme &gt; 30/hafta</t>
  </si>
  <si>
    <t xml:space="preserve">Clickbait başlık + ilk 30 sn'de değer vermemek</t>
  </si>
  <si>
    <t xml:space="preserve">Newsletter (Substack)</t>
  </si>
  <si>
    <t xml:space="preserve">İleri freelancer + ajans sahibi + TR tech meraklısı</t>
  </si>
  <si>
    <t xml:space="preserve">Haftalık Perşembe 20:00, ayda 1 'deep-dive'</t>
  </si>
  <si>
    <t xml:space="preserve">Build journal + müşteri hikayesi + araç ipucu</t>
  </si>
  <si>
    <t xml:space="preserve">Kişisel, daha uzun (800-1500 kelime), Türkçe+EN versiyon</t>
  </si>
  <si>
    <t xml:space="preserve">P1 %50 / P2 %20 / P3 %30</t>
  </si>
  <si>
    <t xml:space="preserve">Yazı sonu → demo video + referans hediye</t>
  </si>
  <si>
    <t xml:space="preserve">Açılma oranı &gt; %40, demo tıklaması &gt; 25/issue</t>
  </si>
  <si>
    <t xml:space="preserve">Şablon e-posta tonu, güncelleme logu kuruluğu</t>
  </si>
  <si>
    <t xml:space="preserve">Topluluklar (Patika, Kommunity, Telegram, Discord)</t>
  </si>
  <si>
    <t xml:space="preserve">Junior dev + freelance topluluğu + Türk tech meetup'ı</t>
  </si>
  <si>
    <t xml:space="preserve">Haftada 2 aktif AMA/yardım + aylık 1 etkinlik</t>
  </si>
  <si>
    <t xml:space="preserve">Canlı AMA, slack/discord thread, meetup konuşması</t>
  </si>
  <si>
    <t xml:space="preserve">Yardımsever, satış-yok, sorulara cevap-önce</t>
  </si>
  <si>
    <t xml:space="preserve">P1 %20 / P2 %30 / P3 %50</t>
  </si>
  <si>
    <t xml:space="preserve">Direkt link yerine kullanıcı adı + profil</t>
  </si>
  <si>
    <t xml:space="preserve">Ayda demo çağrısı &gt; 5, topluluk ismi duyulan &gt; 3</t>
  </si>
  <si>
    <t xml:space="preserve">Topluluğa link yapıştırıp kaçmak = sürekli ban</t>
  </si>
  <si>
    <t xml:space="preserve">90 günlük içerik takvimi — haftalık tematik plan</t>
  </si>
  <si>
    <t xml:space="preserve">Her hafta bir ana tema, her platforma o temadan türeyen 1-2 yayın. İlk 4 hafta 'launch' rüzgarı, 5-8 'partnership wave', 9-12 'case study + ürün lansmanı'. 'Asset' kolonu o hafta için üretilecek reusable parça (video / carousel / blog).</t>
  </si>
  <si>
    <t xml:space="preserve">Hafta</t>
  </si>
  <si>
    <t xml:space="preserve">Tarih aralığı</t>
  </si>
  <si>
    <t xml:space="preserve">Tema</t>
  </si>
  <si>
    <t xml:space="preserve">LinkedIn odak</t>
  </si>
  <si>
    <t xml:space="preserve">Twitter/X odak</t>
  </si>
  <si>
    <t xml:space="preserve">IG + TikTok odak</t>
  </si>
  <si>
    <t xml:space="preserve">Newsletter / YouTube</t>
  </si>
  <si>
    <t xml:space="preserve">Ana üretilecek asset</t>
  </si>
  <si>
    <t xml:space="preserve">W1</t>
  </si>
  <si>
    <t xml:space="preserve">27 Nis - 3 May 2026</t>
  </si>
  <si>
    <t xml:space="preserve">LAUNCH — 'Signal'den ZIP'e'</t>
  </si>
  <si>
    <t xml:space="preserve">Yusuf kişisel launch post + 10 özel kişiye öncelikli DM demo</t>
  </si>
  <si>
    <t xml:space="preserve">Launch thread (7 adet tweet) + GIF</t>
  </si>
  <si>
    <t xml:space="preserve">Reels: 'Brief'i Signal'de yazdım, ZIP geldi' (60 sn)</t>
  </si>
  <si>
    <t xml:space="preserve">NL #1: 'Neden Yappaflow? (Türkçe)'; YT ilk tutorial</t>
  </si>
  <si>
    <t xml:space="preserve">Launch thread + 60 sn hero reels + NL #1 (×2 dil)</t>
  </si>
  <si>
    <t xml:space="preserve">W2</t>
  </si>
  <si>
    <t xml:space="preserve">4 May - 10 May 2026</t>
  </si>
  <si>
    <t xml:space="preserve">Soru &amp; cevap — itirazlar</t>
  </si>
  <si>
    <t xml:space="preserve">Carousel: '5 itiraz: Yappaflow güvenli mi, hosting?, SEO?, domain?, özelleştirilebilirlik?'</t>
  </si>
  <si>
    <t xml:space="preserve">Thread: 'En çok sorulan 10 soru'</t>
  </si>
  <si>
    <t xml:space="preserve">Reels: 3 farklı itiraza 10 sn cevap (serisi)</t>
  </si>
  <si>
    <t xml:space="preserve">NL #2: SEO + hosting akışı açıklaması</t>
  </si>
  <si>
    <t xml:space="preserve">10-soru FAQ belgesi + 3 Reels</t>
  </si>
  <si>
    <t xml:space="preserve">W3</t>
  </si>
  <si>
    <t xml:space="preserve">11 May - 17 May 2026</t>
  </si>
  <si>
    <t xml:space="preserve">Freelancer use-case</t>
  </si>
  <si>
    <t xml:space="preserve">Carousel + post: 'Freelancer için akşam 3 brief, sabah 3 site'</t>
  </si>
  <si>
    <t xml:space="preserve">Build-in-public günlüğü (her gün 1 kısa tweet)</t>
  </si>
  <si>
    <t xml:space="preserve">TikTok: 'Freelance 1 gün' vlog + Reels before/after</t>
  </si>
  <si>
    <t xml:space="preserve">YT: 'Freelancer'a Yappaflow 14 dk' derin eğitim</t>
  </si>
  <si>
    <t xml:space="preserve">14 dk YT video + 5 TikTok klibi</t>
  </si>
  <si>
    <t xml:space="preserve">W4</t>
  </si>
  <si>
    <t xml:space="preserve">18 May - 24 May 2026</t>
  </si>
  <si>
    <t xml:space="preserve">İlk case study — Samsun freelancer</t>
  </si>
  <si>
    <t xml:space="preserve">Case study post + carousel 'before / after'</t>
  </si>
  <si>
    <t xml:space="preserve">Thread: 'Müşteriyi nasıl ikna ettim' (freelancer anlatımı)</t>
  </si>
  <si>
    <t xml:space="preserve">IG hikaye-serisi: ekran video + kısa alıntılar</t>
  </si>
  <si>
    <t xml:space="preserve">NL #3 case study + YT röportaj</t>
  </si>
  <si>
    <t xml:space="preserve">Case study PDF + 10 dk röportaj videosu</t>
  </si>
  <si>
    <t xml:space="preserve">W5</t>
  </si>
  <si>
    <t xml:space="preserve">25 May - 31 May 2026</t>
  </si>
  <si>
    <t xml:space="preserve">Ajans use-case giriş</t>
  </si>
  <si>
    <t xml:space="preserve">Post: 'Neden 2-8 kişilik ajanslara Yappaflow gerekir'</t>
  </si>
  <si>
    <t xml:space="preserve">Thread: 'Junior'ların ilk sayfa süresini nasıl indirdik' (çizgi)</t>
  </si>
  <si>
    <t xml:space="preserve">Reels: 'Ajans sahibine 3 dakika' (kurucu konuşması)</t>
  </si>
  <si>
    <t xml:space="preserve">NL #4 + YT demo: ajans akışı</t>
  </si>
  <si>
    <t xml:space="preserve">3 dk 'ajans için' açıklama videosu</t>
  </si>
  <si>
    <t xml:space="preserve">W6</t>
  </si>
  <si>
    <t xml:space="preserve">1 Haz - 7 Haz 2026</t>
  </si>
  <si>
    <t xml:space="preserve">Influencer kolaborasyon #1</t>
  </si>
  <si>
    <t xml:space="preserve">Co-marketing post (Yiğit Konur veya Serkan Ünsal newsletter)</t>
  </si>
  <si>
    <t xml:space="preserve">Quote-retweet + konuk thread</t>
  </si>
  <si>
    <t xml:space="preserve">IG collab reel (konuk YouTuber)</t>
  </si>
  <si>
    <t xml:space="preserve">NL #5: 'Guest yazar' formatı</t>
  </si>
  <si>
    <t xml:space="preserve">Guest yazısı + cross-post video</t>
  </si>
  <si>
    <t xml:space="preserve">W7</t>
  </si>
  <si>
    <t xml:space="preserve">8 Haz - 14 Haz 2026</t>
  </si>
  <si>
    <t xml:space="preserve">Ürün derinliği — AI pipeline</t>
  </si>
  <si>
    <t xml:space="preserve">Build post: 'DeepSeek + OpenRouter fallback: canlı mimari'</t>
  </si>
  <si>
    <t xml:space="preserve">Thread: '3 yanlış yaptık, 3 doğru kurduk'</t>
  </si>
  <si>
    <t xml:space="preserve">TikTok: 'Kod ekran kaydı + açıklama' (subtitle Türkçe)</t>
  </si>
  <si>
    <t xml:space="preserve">YT deep dive: 12 dk 'AI pipeline'</t>
  </si>
  <si>
    <t xml:space="preserve">12 dk YT + mimari carousel</t>
  </si>
  <si>
    <t xml:space="preserve">W8</t>
  </si>
  <si>
    <t xml:space="preserve">15 Haz - 21 Haz 2026</t>
  </si>
  <si>
    <t xml:space="preserve">İzmir meetup / ön hazırlık</t>
  </si>
  <si>
    <t xml:space="preserve">Post: 'İzmir etkinliğine kim gelir?' + duyuru</t>
  </si>
  <si>
    <t xml:space="preserve">Twitter space (1 saat, Türkçe)</t>
  </si>
  <si>
    <t xml:space="preserve">Reels: İzmir yol videosu + 'gelecek ajansları arıyorum'</t>
  </si>
  <si>
    <t xml:space="preserve">NL #6: 'Neden meetup?' + kayıt link</t>
  </si>
  <si>
    <t xml:space="preserve">Meetup slayt + kayıt formu</t>
  </si>
  <si>
    <t xml:space="preserve">W9</t>
  </si>
  <si>
    <t xml:space="preserve">22 Haz - 28 Haz 2026</t>
  </si>
  <si>
    <t xml:space="preserve">İzmir meetup — canlı</t>
  </si>
  <si>
    <t xml:space="preserve">Canlı LinkedIn yayın</t>
  </si>
  <si>
    <t xml:space="preserve">Live-tweet serisi</t>
  </si>
  <si>
    <t xml:space="preserve">IG canlı + Reels highlight</t>
  </si>
  <si>
    <t xml:space="preserve">YT: meetup record (30 dk özel)</t>
  </si>
  <si>
    <t xml:space="preserve">Meetup highlight reel + YT kayıt</t>
  </si>
  <si>
    <t xml:space="preserve">W10</t>
  </si>
  <si>
    <t xml:space="preserve">29 Haz - 5 Tem 2026</t>
  </si>
  <si>
    <t xml:space="preserve">SMB use-case — kafe / butik</t>
  </si>
  <si>
    <t xml:space="preserve">Post: 'Kafe sahibi Signal'de ne sordu?'</t>
  </si>
  <si>
    <t xml:space="preserve">Thread: '5 SMB müşteriden 5 ders'</t>
  </si>
  <si>
    <t xml:space="preserve">Reels: 'Butik sahibi için canlı site kurdum' (70 sn)</t>
  </si>
  <si>
    <t xml:space="preserve">NL #7: SMB segmenti derin dalış</t>
  </si>
  <si>
    <t xml:space="preserve">SMB kılavuzu PDF + Reels serisi</t>
  </si>
  <si>
    <t xml:space="preserve">W11</t>
  </si>
  <si>
    <t xml:space="preserve">6 Tem - 12 Tem 2026</t>
  </si>
  <si>
    <t xml:space="preserve">Topluluk dalgası — Patika AMA</t>
  </si>
  <si>
    <t xml:space="preserve">Duyuru + post-AMA özet carousel</t>
  </si>
  <si>
    <t xml:space="preserve">AMA soruları thread</t>
  </si>
  <si>
    <t xml:space="preserve">IG live clip + TikTok'a aktar</t>
  </si>
  <si>
    <t xml:space="preserve">NL #8: AMA'dan öğrendiğim 3 şey</t>
  </si>
  <si>
    <t xml:space="preserve">AMA kayıt + 10 soru-özet carousel</t>
  </si>
  <si>
    <t xml:space="preserve">W12</t>
  </si>
  <si>
    <t xml:space="preserve">13 Tem - 19 Tem 2026</t>
  </si>
  <si>
    <t xml:space="preserve">Ürün v2 lansmanı + retro</t>
  </si>
  <si>
    <t xml:space="preserve">Yusuf kişisel retro post: '90 gün sonuçları, ne öğrendik'</t>
  </si>
  <si>
    <t xml:space="preserve">Metrics thread + grafikler</t>
  </si>
  <si>
    <t xml:space="preserve">Reels: '90 günde 250 aktif user' kutlama</t>
  </si>
  <si>
    <t xml:space="preserve">NL #9: 90-gün retro (uzun yazı)</t>
  </si>
  <si>
    <t xml:space="preserve">90-gün retro deck + public KPI dashboard</t>
  </si>
  <si>
    <t xml:space="preserve">İçerik hook bankası — 60+ hazır açılış</t>
  </si>
  <si>
    <t xml:space="preserve">Her hook doğrudan bir posta çevrilecek şekilde yazıldı. 'Platform' kolonu öncelikli kanalı gösterir ama çoğu cross-post edilebilir. 'Pillar' kolonu stratejiyle hizalar. Yusuf her hafta min. 8 hook seçip üretime sokmalı; sonra bu hook 'Used' olarak güncellenir.</t>
  </si>
  <si>
    <t xml:space="preserve">#</t>
  </si>
  <si>
    <t xml:space="preserve">Pillar</t>
  </si>
  <si>
    <t xml:space="preserve">Açılış cümlesi (Türkçe)</t>
  </si>
  <si>
    <t xml:space="preserve">Gövde (ana mesaj)</t>
  </si>
  <si>
    <t xml:space="preserve">LinkedIn</t>
  </si>
  <si>
    <t xml:space="preserve">P1</t>
  </si>
  <si>
    <t xml:space="preserve">Bugün Yappaflow'da bir şeyi kırdım. Sizinle paylaşmak istedim.</t>
  </si>
  <si>
    <t xml:space="preserve">Signal webhook'unda race-condition vardı; 3 farklı log + 1 Slack alarmıyla buldum. Çözüm: 12 satırlık kilitleme. Öğretici yanı: küçük ekip, minik altyapı, büyük ders.</t>
  </si>
  <si>
    <t xml:space="preserve">Aynı problemi yaşayan var mı? Yorumlarda tartışalım.</t>
  </si>
  <si>
    <t xml:space="preserve">P2</t>
  </si>
  <si>
    <t xml:space="preserve">2-8 kişilik ajans sahipleri: bu pazarlama postunu 30 sn okuyun.</t>
  </si>
  <si>
    <t xml:space="preserve">Junior bir developer'a ilk sayfayı 2 gün kurdurmak ajans marjinizi eritiyor. Yappaflow ile brief Signal'de geliyor, sabah ZIP hazır. 3 İzmir ajansı test etti; ortalama 28 dk.</t>
  </si>
  <si>
    <t xml:space="preserve">DM'den ücretsiz pilot demo rezerve edin.</t>
  </si>
  <si>
    <t xml:space="preserve">P3</t>
  </si>
  <si>
    <t xml:space="preserve">İzmir'deyim. 24 Haziran Çarşamba küçük bir ajans meetup'ı düzenliyorum.</t>
  </si>
  <si>
    <t xml:space="preserve">Alsancak'ta 2 saat, pizzalar bende. Konular: (1) brief otomatikleştirmek; (2) müşteriye fiyat anlatmak; (3) bir ajans nasıl Yappaflow'u iç pipeline yaptı.</t>
  </si>
  <si>
    <t xml:space="preserve">Gelmek istiyorsanız yoruma 'İzmir' yazın, 20 kişi ile sınırlı.</t>
  </si>
  <si>
    <t xml:space="preserve">Twitter/X</t>
  </si>
  <si>
    <t xml:space="preserve">Yappaflow MRR'i bu hafta $340 → $420.</t>
  </si>
  <si>
    <t xml:space="preserve">Kaç freelancer kayıt oldu, kaç hesap aktifleşti, ne kırdım. Küçük ama doğru yönde.</t>
  </si>
  <si>
    <t xml:space="preserve">Thread içinde tüm grafikler ↓</t>
  </si>
  <si>
    <t xml:space="preserve">Brief'i Signal'de yazdırmanın 3 kuralı:</t>
  </si>
  <si>
    <t xml:space="preserve">1) müşteri sevdiği 3 rakibi söylesin; 2) 'site açıldığında ne hissetsin' sorusu; 3) sitede olmayacakları da listele. Geri kalanı AI hallediyor.</t>
  </si>
  <si>
    <t xml:space="preserve">Detaylı thread ↓</t>
  </si>
  <si>
    <t xml:space="preserve">Turks in Tech newsletter'ın bu haftaki issue'sunu yazarken fark ettim:</t>
  </si>
  <si>
    <t xml:space="preserve">Türk indie-hacker sahnesi 2023'e göre 2 kat büyümüş. Bu, Yappaflow gibi dikey ürünler için harika haber.</t>
  </si>
  <si>
    <t xml:space="preserve">Turks in Tech'e abone olun (link bio'da).</t>
  </si>
  <si>
    <t xml:space="preserve">Bir kurucunun 1 dakikası: bu sabah Signal botuna ilk SMB müşterisi yazdı.</t>
  </si>
  <si>
    <t xml:space="preserve">30 yaşında bir butik sahibi, telefonundan sohbet etti; sonunda elinde .zip bir site. Hiç 'kodla' demedi.</t>
  </si>
  <si>
    <t xml:space="preserve">Bio'daki linkten Signal'e yaz; sen de dene.</t>
  </si>
  <si>
    <t xml:space="preserve">Kafeci dostun sordu: sitem olsa faydası olur mu? 60 sn'de gösteriyorum.</t>
  </si>
  <si>
    <t xml:space="preserve">Google aramada gözükmezsen komşu kafeyi seçer. Menüyü .zip siteye koyarız, Netlify'a yüklersin, haftaya aramalarda gözükürsün.</t>
  </si>
  <si>
    <t xml:space="preserve">Kaydet + kafeciye gönder.</t>
  </si>
  <si>
    <t xml:space="preserve">Esnaf odası etkinliğindeydim. 10 SMB'ye Yappaflow'u anlattım. 8'i 'bunu bana lazım' dedi.</t>
  </si>
  <si>
    <t xml:space="preserve">Türk SMB'nin en büyük engeli güven: 'parayı verip siteyi bulmazsam' korkusu. Freemium modeli bunun cevabı.</t>
  </si>
  <si>
    <t xml:space="preserve">Aynı etkinlik yapmak isteyen esnaf odası varsa DM'den yazın.</t>
  </si>
  <si>
    <t xml:space="preserve">Canlı yayın: 5 dakikada bir SaaS ürünü daha iyi nasıl yapılır.</t>
  </si>
  <si>
    <t xml:space="preserve">Bugün: Signal bot'un hata mesajlarını yeniden yazdım. Sebep: müşteri 'ne demek bu?' diye sordu.</t>
  </si>
  <si>
    <t xml:space="preserve">Takip et, her gün bir ilerleme paylaşıyorum.</t>
  </si>
  <si>
    <t xml:space="preserve">15 saniyede: brief'ten siteye.</t>
  </si>
  <si>
    <t xml:space="preserve">Signal'e yaz → AI kimlik çıkar → şablon seç → .zip indir. Tam ekran kaydı.</t>
  </si>
  <si>
    <t xml:space="preserve">Detaylı adım adım için LinkedIn'e bak (link bio'da).</t>
  </si>
  <si>
    <t xml:space="preserve">Bu hafta Patika'da AMA yaptım. 120 kişi geldi. En çok sorulan soru:</t>
  </si>
  <si>
    <t xml:space="preserve">'Ürünü 0'dan tek başına nasıl kurdun?' Cevap: ekipten değil, topluluktan destek aldım.</t>
  </si>
  <si>
    <t xml:space="preserve">Patika'nın Discord'una sen de gel.</t>
  </si>
  <si>
    <t xml:space="preserve">YouTube</t>
  </si>
  <si>
    <t xml:space="preserve">90 gün sonra: Yappaflow ne öğretti?</t>
  </si>
  <si>
    <t xml:space="preserve">Tüm metrikler, hataları, 3 doğru kararı, 2 büyük yanlışı. 18 dk dürüst retro.</t>
  </si>
  <si>
    <t xml:space="preserve">Detay için açıklama + abone ol.</t>
  </si>
  <si>
    <t xml:space="preserve">Freelancer için Yappaflow tam eğitimi (14 dk).</t>
  </si>
  <si>
    <t xml:space="preserve">Brief → AI kimlik → şablon → ZIP → Netlify deploy. Müşteri faturası bile dahil.</t>
  </si>
  <si>
    <t xml:space="preserve">Açıklamadaki Signal linkinden dene.</t>
  </si>
  <si>
    <t xml:space="preserve">Murat Yücedağ + Yusuf: WordPress'ten ZIP'e geçiş (ortak video).</t>
  </si>
  <si>
    <t xml:space="preserve">İki farklı pencere: biri klasik WP freelancer, diğeri static-site founder. Müşteri tercihleri karşılaştırılıyor.</t>
  </si>
  <si>
    <t xml:space="preserve">Murat'ın kanalını da izle + abone.</t>
  </si>
  <si>
    <t xml:space="preserve">Newsletter</t>
  </si>
  <si>
    <t xml:space="preserve">Yappaflow'ta bu hafta: Signal webhook kırıldı, 3 kişi yardım etti.</t>
  </si>
  <si>
    <t xml:space="preserve">1800 kelimelik 'bu hafta ne oldu, ne öğrendim, gelecek hafta ne?' içerik. Açıklık = güven.</t>
  </si>
  <si>
    <t xml:space="preserve">Geri dönüş bekliyorum — cevap gönder.</t>
  </si>
  <si>
    <t xml:space="preserve">Bir ajans owner için: Yappaflow pipeline'ını iç araç yapmanın 5 yolu.</t>
  </si>
  <si>
    <t xml:space="preserve">Case: İzmir'deki 4 kişilik dijital ajans; iç brief akışlarına Yappaflow ekledi. Junior verimi %40 arttı.</t>
  </si>
  <si>
    <t xml:space="preserve">Demo için yanıtla + Zoom ayarlayalım.</t>
  </si>
  <si>
    <t xml:space="preserve">Turks in Tech + Yappaflow: birlikte bir deneme.</t>
  </si>
  <si>
    <t xml:space="preserve">Co-issue: kurucu hikayesi + Türk early-stage ürün listesi. Newsletter swap'ı.</t>
  </si>
  <si>
    <t xml:space="preserve">Turks in Tech'e kayıt (link).</t>
  </si>
  <si>
    <t xml:space="preserve">Bir kurucu olarak en korktuğum şey: 'ürünü kimse istemezse?'</t>
  </si>
  <si>
    <t xml:space="preserve">Samsun'daki 2 freelancer ilk ödemeyi yaptığında kalp çarpıntısı yaşadım. Kıymetli bir an.</t>
  </si>
  <si>
    <t xml:space="preserve">Sizin ilk ücretli müşteri anınız nasıldı?</t>
  </si>
  <si>
    <t xml:space="preserve">'Statik site' 2026'da neden ölmedi, tersine yükseldi?</t>
  </si>
  <si>
    <t xml:space="preserve">Hosting ucuz, SEO hızlı, bakım yok, müşteri kontrolü tam. Yappaflow bu trendin AI-first hali.</t>
  </si>
  <si>
    <t xml:space="preserve">Yorumda katılıyor musun?</t>
  </si>
  <si>
    <t xml:space="preserve">Bu akşam 23:00'te küçük canlı yayın: Yappaflow backend'indeki 3 karar.</t>
  </si>
  <si>
    <t xml:space="preserve">Miktarlar: Postgres yerine SQLite, worker sayısı 2, cache 10 dk.</t>
  </si>
  <si>
    <t xml:space="preserve">Saat ayarla ↓</t>
  </si>
  <si>
    <t xml:space="preserve">SMB sitesi = menü + iletişim + 3 sosyal.</t>
  </si>
  <si>
    <t xml:space="preserve">Geriye kalan tüm 'gösterişli sayfalar' satış yapmıyor. Yappaflow bu 4 kutuyla başlıyor, sonra büyüyor.</t>
  </si>
  <si>
    <t xml:space="preserve">Aynı fikirde misin? RT.</t>
  </si>
  <si>
    <t xml:space="preserve">Kapat telefonu, bu sefer: '.zip' müşteriye e-postayla gitti.</t>
  </si>
  <si>
    <t xml:space="preserve">Yusuf'un 3. müşterisi. Şehir: Samsun. Süre: 32 dakika.</t>
  </si>
  <si>
    <t xml:space="preserve">Samsun'da siz de Signal'e yazın.</t>
  </si>
  <si>
    <t xml:space="preserve">Kafe web sitesi için 4 zorunlu şey.</t>
  </si>
  <si>
    <t xml:space="preserve">(1) Menü; (2) harita; (3) telefon; (4) Instagram linki. Fazlası müşteriye kaybettiriyor.</t>
  </si>
  <si>
    <t xml:space="preserve">Kaydet + esnaflara gönder.</t>
  </si>
  <si>
    <t xml:space="preserve">Samsun'dan İzmir'e: Yappaflow neden şimdi?</t>
  </si>
  <si>
    <t xml:space="preserve">İki şehir, iki hikaye, bir pazar. 60 sn.</t>
  </si>
  <si>
    <t xml:space="preserve">Takip et, İzmir meetup için DM at.</t>
  </si>
  <si>
    <t xml:space="preserve">Ajans sahiplerine 3 saniyelik test:</t>
  </si>
  <si>
    <t xml:space="preserve">Son brief kaç saatte aldın? 6+ saat ise senin problemin benim problemim. Yappaflow.</t>
  </si>
  <si>
    <t xml:space="preserve">Bio'da detay.</t>
  </si>
  <si>
    <t xml:space="preserve">3 influencer ile aynı anda konuştum; hepsi aynı soruyu sordu.</t>
  </si>
  <si>
    <t xml:space="preserve">Hepsinin cevabı aynıydı: 'SDK'yı verebilir misiniz, Türkçe dokümantasyonla?' Şimdi üzerindeyiz.</t>
  </si>
  <si>
    <t xml:space="preserve">Beta test istersen DM'den yaz.</t>
  </si>
  <si>
    <t xml:space="preserve">Bu hafta 3 hata: hangisini tekrar yapmazdım?</t>
  </si>
  <si>
    <t xml:space="preserve">1) müşteriye demo'yu canlı yapmadım; 2) fiyat listesinde kademelendirme yoktu; 3) refund politikası 'belirsiz' yazıyordu. Üçü de düzeldi.</t>
  </si>
  <si>
    <t xml:space="preserve">Yanıtlar ve sorular bekliyorum.</t>
  </si>
  <si>
    <t xml:space="preserve">Yappaflow 100. kullanıcısını kutluyor.</t>
  </si>
  <si>
    <t xml:space="preserve">40% freelancer, 35% ajans, 25% SMB. Samsun ilk, İzmir ikinci.</t>
  </si>
  <si>
    <t xml:space="preserve">Kıyaslamak isteyenlere thread.</t>
  </si>
  <si>
    <t xml:space="preserve">Kommunity'de açtığım anketten 3 içgörü.</t>
  </si>
  <si>
    <t xml:space="preserve">Türk junior dev'lerin %62'si 'ilk müşteri için site kurmayı' en büyük engel görüyor. Yappaflow bu cevabı veriyor.</t>
  </si>
  <si>
    <t xml:space="preserve">Sen de anket yanıtla.</t>
  </si>
  <si>
    <t xml:space="preserve">Digital Faculty ile kısa röportaj.</t>
  </si>
  <si>
    <t xml:space="preserve">Emre Gökşin bir dakikada neden Türkiye'de yerli AI ürün desteklenmeli diye anlatıyor.</t>
  </si>
  <si>
    <t xml:space="preserve">Reels'i kaydet.</t>
  </si>
  <si>
    <t xml:space="preserve">Wix vs Squarespace vs Yappaflow — Türk SMB için hangisi?</t>
  </si>
  <si>
    <t xml:space="preserve">Yan yana canlı test: 3 farklı kullanıcı, 3 farklı sonuç. Maliyet + süre + kalite.</t>
  </si>
  <si>
    <t xml:space="preserve">Yorumlara beklentilerini yaz.</t>
  </si>
  <si>
    <t xml:space="preserve">Canlı hikaye: Signal sohbetinden ZIP.</t>
  </si>
  <si>
    <t xml:space="preserve">3 parçalı story arc: soru → ürün → sonuç.</t>
  </si>
  <si>
    <t xml:space="preserve">Kaydır: Signal linki hikaye sonunda.</t>
  </si>
  <si>
    <t xml:space="preserve">Müşteri brief'ini otomatikleştirmek = 10 saat kazanmak.</t>
  </si>
  <si>
    <t xml:space="preserve">Matematiksel kanıt: haftada 3 müşteri × 3 saat brief = 9 saat. Yappaflow bu 9 saati 30 dakikaya indiriyor.</t>
  </si>
  <si>
    <t xml:space="preserve">DM at, 5 dk demo.</t>
  </si>
  <si>
    <t xml:space="preserve">Bir TR startup topluluğu röportajı: Türkiye tech'i hangi yöne gidiyor?</t>
  </si>
  <si>
    <t xml:space="preserve">Baran Cezayirli cevap veriyor. Abone olup başa dönmek için link.</t>
  </si>
  <si>
    <t xml:space="preserve">Forward et bir dostuna.</t>
  </si>
  <si>
    <t xml:space="preserve">Fiyat şeffaflığı: Yappaflow neden abonelik değil one-time + hosting?</t>
  </si>
  <si>
    <t xml:space="preserve">Özgürlük + ZIP ownership + düşük giriş. Yatırımcıya değil kullanıcıya uygun.</t>
  </si>
  <si>
    <t xml:space="preserve">Yorumlara sor.</t>
  </si>
  <si>
    <t xml:space="preserve">Türkiye'de 'static site' arama trendi 2023→2026 %180 arttı.</t>
  </si>
  <si>
    <t xml:space="preserve">Bu neden önemli: SEO + hosting maliyeti + güven. Grafik ekli.</t>
  </si>
  <si>
    <t xml:space="preserve">Google Trends ekran görüntüsü thread'de.</t>
  </si>
  <si>
    <t xml:space="preserve">BtkAkademi bootcamp öğrencilerine Yappaflow canlı demo.</t>
  </si>
  <si>
    <t xml:space="preserve">90 öğrenci ekran karşısında; DM'ler tutulur halde.</t>
  </si>
  <si>
    <t xml:space="preserve">Bootcamp videosunu bio'dan izle.</t>
  </si>
  <si>
    <t xml:space="preserve">Patika.dev x Yappaflow: ilk 'AMA gecesi' bu perşembe.</t>
  </si>
  <si>
    <t xml:space="preserve">Soruları şimdiden yorumlara bırakın; canlıda cevaplıyorum.</t>
  </si>
  <si>
    <t xml:space="preserve">Takvime ekle.</t>
  </si>
  <si>
    <t xml:space="preserve">Selman Kâhya ile kolaborasyon: 'Sıfırdan WordPress vs ZIP site — 2026 kararı'.</t>
  </si>
  <si>
    <t xml:space="preserve">30 dk ortak video; iki farklı iş modeli.</t>
  </si>
  <si>
    <t xml:space="preserve">Her iki kanalı da izle.</t>
  </si>
  <si>
    <t xml:space="preserve">Build-in-public sürdürülebilir mi?</t>
  </si>
  <si>
    <t xml:space="preserve">6 ay içinde verdiğim 1 seçim: Twitter'a günlük değil LinkedIn'e haftalık uzun düşünce. Sebep: müşteri orada karar veriyor.</t>
  </si>
  <si>
    <t xml:space="preserve">Senin kanal önceliğin ne?</t>
  </si>
  <si>
    <t xml:space="preserve">Yappaflow'un gizli silahı: Türkçe prompt tuning.</t>
  </si>
  <si>
    <t xml:space="preserve">İngilizce modelde 'salon' = güzellik yerine 'oturma odası'. Bunu düzeltmek = Türkiye'de rakip yok.</t>
  </si>
  <si>
    <t xml:space="preserve">Detay için thread.</t>
  </si>
  <si>
    <t xml:space="preserve">Bugün 1 saat 37 dakika boyunca sessizlikte kod yazdım.</t>
  </si>
  <si>
    <t xml:space="preserve">Bitişinde Signal bot yeni prompt'u öğrenmişti. Reels format: hızlandırılmış ekran.</t>
  </si>
  <si>
    <t xml:space="preserve">Kaydet, başka ne izlemek istersin sor.</t>
  </si>
  <si>
    <t xml:space="preserve">Müşteri brief'inde 3 sorum varsa senin de 3 sorun var.</t>
  </si>
  <si>
    <t xml:space="preserve">(1) kullanıcı ne yapıyor? (2) rakip neden kötü? (3) stil nasıl? Cevabını Signal'e yapıştır, Yappaflow siteyi çıkarıyor.</t>
  </si>
  <si>
    <t xml:space="preserve">Bio'dan başla.</t>
  </si>
  <si>
    <t xml:space="preserve">Ajans sahipleri: Yappaflow'u white-label kullanmanın hukuki akışı.</t>
  </si>
  <si>
    <t xml:space="preserve">Bayilik değil, 'reseller seat'. Fiyatlandırma + fatura + sözleşme örnekleri.</t>
  </si>
  <si>
    <t xml:space="preserve">Ajans sözleşme şablonunu indir (link).</t>
  </si>
  <si>
    <t xml:space="preserve">Yiğit Konur guest post: Türk SEO 2026 trendleri.</t>
  </si>
  <si>
    <t xml:space="preserve">Bir aylık hazırlık; 2200 kelime; veri 8 farklı kaynaktan.</t>
  </si>
  <si>
    <t xml:space="preserve">Tam metin Substack'te.</t>
  </si>
  <si>
    <t xml:space="preserve">Canlı build: 2 saatte yeni özellik (AI iyileştirme).</t>
  </si>
  <si>
    <t xml:space="preserve">Kamera + ekran; yorumlar üzerinden karar alıyorum.</t>
  </si>
  <si>
    <t xml:space="preserve">Abone ol, sonraki canlıyı kaçırma.</t>
  </si>
  <si>
    <t xml:space="preserve">SMB için 10 dakikada statik site adımları.</t>
  </si>
  <si>
    <t xml:space="preserve">Her adım bir slide; 10 slide'lık carousel.</t>
  </si>
  <si>
    <t xml:space="preserve">Bugünkü mini-zafer: Signal bot dolu/boş durumunu doğru anlıyor.</t>
  </si>
  <si>
    <t xml:space="preserve">Önce yarım cümle gelir, sonra 'bitir' deyince süreç başlar. Küçük ama büyük UX.</t>
  </si>
  <si>
    <t xml:space="preserve">Takip et; her gün mini-zafer paylaşıyorum.</t>
  </si>
  <si>
    <t xml:space="preserve">90 günlük retro: MRR, churn, ikna olmak zor müşteriler.</t>
  </si>
  <si>
    <t xml:space="preserve">Tüm metrikler + 5 değerli yorum + gelecek 90 güne 3 hedef.</t>
  </si>
  <si>
    <t xml:space="preserve">Yorum / abone ol.</t>
  </si>
  <si>
    <t xml:space="preserve">İzmir Teknopark meetup'ında 40 kişilik grup.</t>
  </si>
  <si>
    <t xml:space="preserve">Slide'lar GitHub'da; kayıt bu akşam YouTube'da.</t>
  </si>
  <si>
    <t xml:space="preserve">RT + davet et.</t>
  </si>
  <si>
    <t xml:space="preserve">Yappaflow'un white-label fiyat modelini açıklıyorum.</t>
  </si>
  <si>
    <t xml:space="preserve">3 kademe: single seat, agency seat, reseller seat. Her biri farklı SLA.</t>
  </si>
  <si>
    <t xml:space="preserve">DM'den demo.</t>
  </si>
  <si>
    <t xml:space="preserve">Bu hafta en çok yaptığım hata: Twitter'a ağırlık verip IG'yi ihmal etmek.</t>
  </si>
  <si>
    <t xml:space="preserve">Sonuç: IG takipçi sabit. Düzeltme: 2 reels/gün garanti.</t>
  </si>
  <si>
    <t xml:space="preserve">Bize IG takipçi kazandıran ipucun var mı yorumlara yaz.</t>
  </si>
  <si>
    <t xml:space="preserve">Bir kurucu olarak motivasyon kaybettiğimde ne yapıyorum?</t>
  </si>
  <si>
    <t xml:space="preserve">3 şey: bir case study yazıyorum, bir kullanıcıyla konuşuyorum, 2 gün yazılım yazmıyorum.</t>
  </si>
  <si>
    <t xml:space="preserve">Kaydet + motivasyon kaybettiğinde izle.</t>
  </si>
  <si>
    <t xml:space="preserve">Patika.dev ile ortak newsletter sayısı.</t>
  </si>
  <si>
    <t xml:space="preserve">Onların öğrenci perspektifi + bizim ürün perspektifi. Birbirini güçlendiren iki yazı.</t>
  </si>
  <si>
    <t xml:space="preserve">Patika'ya abone ol + Yappaflow'a gel.</t>
  </si>
  <si>
    <t xml:space="preserve">Bugünkü küçük kazanç: Yusuf'un annesi Yappaflow'u gördü, 'ben de bir site yaparım' dedi.</t>
  </si>
  <si>
    <t xml:space="preserve">Bu tam ICP — anneler SMB sahibi. Ürün-pazar uyumu böyle hissediliyor.</t>
  </si>
  <si>
    <t xml:space="preserve">Sizin benzer 'aile hikayeniz' var mı?</t>
  </si>
  <si>
    <t xml:space="preserve">Yappaflow'un mimari kararları (deep dive).</t>
  </si>
  <si>
    <t xml:space="preserve">DeepSeek'i neden seçtik, OpenRouter fallback, streaming akış. 20 dk.</t>
  </si>
  <si>
    <t xml:space="preserve">Abone ol + yorumla.</t>
  </si>
  <si>
    <t xml:space="preserve">Tek tweet kural: müşteri 'net' ister.</t>
  </si>
  <si>
    <t xml:space="preserve">Yappaflow'un her butonu 3 kelime veya az. Uzun CTA = conversion düşüşü.</t>
  </si>
  <si>
    <t xml:space="preserve">Bir URL değil, 3 kelime kullan.</t>
  </si>
  <si>
    <t xml:space="preserve">Samsun esnaf odasında konuşma davetliyim.</t>
  </si>
  <si>
    <t xml:space="preserve">30 işletmeye 'Yappaflow ile dijitalleşme' semineri.</t>
  </si>
  <si>
    <t xml:space="preserve">Esnaf olanlar, kendi ilinizde istiyor musunuz yorumda söyleyin.</t>
  </si>
  <si>
    <t xml:space="preserve">Static site bakım nasıl yapılır (subtitle ile).</t>
  </si>
  <si>
    <t xml:space="preserve">Her 6 ayda bir bağlantı testi + Google Search Console kontrolü. 50 sn.</t>
  </si>
  <si>
    <t xml:space="preserve">Kaydet + yılda iki kez izle.</t>
  </si>
  <si>
    <t xml:space="preserve">Cuma akşamı dürüst sorusu: 'Gelecek ay Yappaflow'u kapatırsam ne olur?'</t>
  </si>
  <si>
    <t xml:space="preserve">Şu an ne çalışıyor ne çalışmıyor, ne riske atıyorum. Dürüst 1400 kelime.</t>
  </si>
  <si>
    <t xml:space="preserve">Cevap gönder.</t>
  </si>
  <si>
    <t xml:space="preserve">Türk içerik üreticileri — hedef liste (web/ajans/freelancer odaklı)</t>
  </si>
  <si>
    <t xml:space="preserve">YouTube ağırlıklı (araştırma en güvenilir veriyi orada verdi). LinkedIn + Newsletter kısmı kısa ama nitelikli. IG/TikTok platform auth duvarı nedeniyle hand-curated + doğrulama gerektirecek bölüm. Her ileti başlamadan önce 'Tier' kolonuna göre önceliklendir: Tier-1 ilk 30 gün, Tier-2 ikinci 30 gün, Tier-3 bakarsa.</t>
  </si>
  <si>
    <t xml:space="preserve">Tier</t>
  </si>
  <si>
    <t xml:space="preserve">Ad / Kanal</t>
  </si>
  <si>
    <t xml:space="preserve">URL</t>
  </si>
  <si>
    <t xml:space="preserve">Kategori</t>
  </si>
  <si>
    <t xml:space="preserve">Takipçi</t>
  </si>
  <si>
    <t xml:space="preserve">Ortalama görüntülenme</t>
  </si>
  <si>
    <t xml:space="preserve">Türkçe?</t>
  </si>
  <si>
    <t xml:space="preserve">Uygunluk notu</t>
  </si>
  <si>
    <t xml:space="preserve">Sponsor/ücret aralığı (₺)</t>
  </si>
  <si>
    <t xml:space="preserve">İlk pitch açısı</t>
  </si>
  <si>
    <t xml:space="preserve">Tier-1</t>
  </si>
  <si>
    <t xml:space="preserve">Adem İlter</t>
  </si>
  <si>
    <t xml:space="preserve">https://www.youtube.com/@ademilter</t>
  </si>
  <si>
    <t xml:space="preserve">Frontend / React / tasarım</t>
  </si>
  <si>
    <t xml:space="preserve">72000</t>
  </si>
  <si>
    <t xml:space="preserve">12000</t>
  </si>
  <si>
    <t xml:space="preserve">Evet</t>
  </si>
  <si>
    <t xml:space="preserve">UI mühendislik dili TR tech için altın standart; ciddi freelancer izleyicisi</t>
  </si>
  <si>
    <t xml:space="preserve">25k-60k</t>
  </si>
  <si>
    <t xml:space="preserve">'React + Yappaflow: Türkçe AI prompt tuning' canlı mini seri</t>
  </si>
  <si>
    <t xml:space="preserve">Murat Yücedağ</t>
  </si>
  <si>
    <t xml:space="preserve">https://www.youtube.com/@MuratYucedag</t>
  </si>
  <si>
    <t xml:space="preserve">WordPress / Web tasarım</t>
  </si>
  <si>
    <t xml:space="preserve">150000</t>
  </si>
  <si>
    <t xml:space="preserve">18000</t>
  </si>
  <si>
    <t xml:space="preserve">En büyük TR WP kitlesi; 'WP'den ZIP'e geçiş' videosu ideal</t>
  </si>
  <si>
    <t xml:space="preserve">40k-85k</t>
  </si>
  <si>
    <t xml:space="preserve">'WordPress'ten Yappaflow'a geçiş' karşılaştırma + canlı yayın</t>
  </si>
  <si>
    <t xml:space="preserve">Selman Kâhya</t>
  </si>
  <si>
    <t xml:space="preserve">https://www.youtube.com/@SelmanKahya</t>
  </si>
  <si>
    <t xml:space="preserve">Genel yazılım / kariyer</t>
  </si>
  <si>
    <t xml:space="preserve">280000</t>
  </si>
  <si>
    <t xml:space="preserve">25000</t>
  </si>
  <si>
    <t xml:space="preserve">TR yazılım kariyer otoritesi; ICP S1'e hitap ediyor</t>
  </si>
  <si>
    <t xml:space="preserve">60k-120k</t>
  </si>
  <si>
    <t xml:space="preserve">'Freelancer olmak isteyenler için Yappaflow' eğitim videosu</t>
  </si>
  <si>
    <t xml:space="preserve">Tayfun Erbilen</t>
  </si>
  <si>
    <t xml:space="preserve">https://www.youtube.com/@tayfunerbilen</t>
  </si>
  <si>
    <t xml:space="preserve">Full-stack / Laravel / PHP / FE</t>
  </si>
  <si>
    <t xml:space="preserve">180000</t>
  </si>
  <si>
    <t xml:space="preserve">14000</t>
  </si>
  <si>
    <t xml:space="preserve">Çok kaliteli uzun eğitimler; freelance döneminde yaşadığı için empati yüksek</t>
  </si>
  <si>
    <t xml:space="preserve">45k-90k</t>
  </si>
  <si>
    <t xml:space="preserve">'Freelancer pipeline: Yappaflow + kendi backend'in' derin video</t>
  </si>
  <si>
    <t xml:space="preserve">Kodluyoruz / Mustafa Akgül (bootcamp partneri)</t>
  </si>
  <si>
    <t xml:space="preserve">https://www.youtube.com/@kodluyoruz</t>
  </si>
  <si>
    <t xml:space="preserve">Bootcamp / kariyer dönüşümü</t>
  </si>
  <si>
    <t xml:space="preserve">120000</t>
  </si>
  <si>
    <t xml:space="preserve">8000</t>
  </si>
  <si>
    <t xml:space="preserve">Junior-focused; Yappaflow junior'ların ilk freelance işi için araç olarak anlatılabilir</t>
  </si>
  <si>
    <t xml:space="preserve">sponsor-yok, kolab</t>
  </si>
  <si>
    <t xml:space="preserve">Kodluyoruz bootcamp'ine Yappaflow seat sponsorluğu + video</t>
  </si>
  <si>
    <t xml:space="preserve">Tier-2</t>
  </si>
  <si>
    <t xml:space="preserve">Arin Yazılım</t>
  </si>
  <si>
    <t xml:space="preserve">https://www.youtube.com/@ArinYazilim</t>
  </si>
  <si>
    <t xml:space="preserve">Backend / Laravel / SaaS</t>
  </si>
  <si>
    <t xml:space="preserve">35000</t>
  </si>
  <si>
    <t xml:space="preserve">3500</t>
  </si>
  <si>
    <t xml:space="preserve">Niş ama son derece hedef-sadık; freelance + indie hacker kitle</t>
  </si>
  <si>
    <t xml:space="preserve">12k-28k</t>
  </si>
  <si>
    <t xml:space="preserve">'SaaS kurucusu olarak Yappaflow'u neden seçtim' röportaj</t>
  </si>
  <si>
    <t xml:space="preserve">Volkan Biçer (Vtech)</t>
  </si>
  <si>
    <t xml:space="preserve">https://www.youtube.com/@VolkanBicer</t>
  </si>
  <si>
    <t xml:space="preserve">Frontend / web developer life</t>
  </si>
  <si>
    <t xml:space="preserve">65000</t>
  </si>
  <si>
    <t xml:space="preserve">5500</t>
  </si>
  <si>
    <t xml:space="preserve">Vlog tarzı; günlük freelancer çalışma videoları</t>
  </si>
  <si>
    <t xml:space="preserve">18k-35k</t>
  </si>
  <si>
    <t xml:space="preserve">'Bir freelancer günü: Yappaflow dahil' vlog</t>
  </si>
  <si>
    <t xml:space="preserve">Mehmet Seven</t>
  </si>
  <si>
    <t xml:space="preserve">https://www.youtube.com/@mehmetsevenozturk</t>
  </si>
  <si>
    <t xml:space="preserve">Yazılım kariyer / freelancer</t>
  </si>
  <si>
    <t xml:space="preserve">48000</t>
  </si>
  <si>
    <t xml:space="preserve">4000</t>
  </si>
  <si>
    <t xml:space="preserve">Kariyer koçu-tonu; freelance case study formatına açık</t>
  </si>
  <si>
    <t xml:space="preserve">15k-30k</t>
  </si>
  <si>
    <t xml:space="preserve">'İlk 10k ₺ freelance: Yappaflow ile 2 aylık deney' meydan okuma</t>
  </si>
  <si>
    <t xml:space="preserve">Sadık Turan</t>
  </si>
  <si>
    <t xml:space="preserve">https://www.youtube.com/@SadikTuran</t>
  </si>
  <si>
    <t xml:space="preserve">Full-stack / eğitim</t>
  </si>
  <si>
    <t xml:space="preserve">320000</t>
  </si>
  <si>
    <t xml:space="preserve">15000</t>
  </si>
  <si>
    <t xml:space="preserve">Büyük kitle ama tech-heavy; ajans içeriği daha az görünür</t>
  </si>
  <si>
    <t xml:space="preserve">60k-110k</t>
  </si>
  <si>
    <t xml:space="preserve">'AI ajanslar için: Yappaflow derin inceleme'</t>
  </si>
  <si>
    <t xml:space="preserve">Hüseyin Yılmaz (Kodland)</t>
  </si>
  <si>
    <t xml:space="preserve">https://www.youtube.com/@KodlandTV</t>
  </si>
  <si>
    <t xml:space="preserve">Çocuk / genç genel eğitim</t>
  </si>
  <si>
    <t xml:space="preserve">200000</t>
  </si>
  <si>
    <t xml:space="preserve">ICP dışı ama Türk ebeveynler+öğrenci; uzak partnership</t>
  </si>
  <si>
    <t xml:space="preserve">sponsor</t>
  </si>
  <si>
    <t xml:space="preserve">Kodland bootcamp bitenlere Yappaflow sertifika+seat</t>
  </si>
  <si>
    <t xml:space="preserve">Ahmet Kutlu (Frontend)</t>
  </si>
  <si>
    <t xml:space="preserve">https://www.youtube.com/@ahmetkutlu</t>
  </si>
  <si>
    <t xml:space="preserve">Frontend / CSS / design</t>
  </si>
  <si>
    <t xml:space="preserve">42000</t>
  </si>
  <si>
    <t xml:space="preserve">3800</t>
  </si>
  <si>
    <t xml:space="preserve">CSS + mikro tasarım; ajans junior'larına değerli</t>
  </si>
  <si>
    <t xml:space="preserve">'Yappaflow şablonlarını nasıl özelleştirirsin' tutorial</t>
  </si>
  <si>
    <t xml:space="preserve">Uğur Umutluoğlu</t>
  </si>
  <si>
    <t xml:space="preserve">https://www.youtube.com/@ugurumutluoglu</t>
  </si>
  <si>
    <t xml:space="preserve">Web tasarım / WordPress</t>
  </si>
  <si>
    <t xml:space="preserve">55000</t>
  </si>
  <si>
    <t xml:space="preserve">4500</t>
  </si>
  <si>
    <t xml:space="preserve">Orta tier WP hocası; WP kullanıcılarını ZIP'e yönlendirmek için değerli</t>
  </si>
  <si>
    <t xml:space="preserve">15k-32k</t>
  </si>
  <si>
    <t xml:space="preserve">'WordPress'i bırakanlar hikayesi' kullanıcı panel videosu</t>
  </si>
  <si>
    <t xml:space="preserve">Ali Çetinkaya (techsu)</t>
  </si>
  <si>
    <t xml:space="preserve">https://www.youtube.com/@techsu</t>
  </si>
  <si>
    <t xml:space="preserve">Girişimci / tech haber</t>
  </si>
  <si>
    <t xml:space="preserve">78000</t>
  </si>
  <si>
    <t xml:space="preserve">7000</t>
  </si>
  <si>
    <t xml:space="preserve">TR girişimci çevresini toplar; Yappaflow kurucu röportajı</t>
  </si>
  <si>
    <t xml:space="preserve">25k-50k</t>
  </si>
  <si>
    <t xml:space="preserve">'Türkiye'den Yappaflow: kurucu röportajı' 30 dk</t>
  </si>
  <si>
    <t xml:space="preserve">Tier-3</t>
  </si>
  <si>
    <t xml:space="preserve">Emre Karakaya</t>
  </si>
  <si>
    <t xml:space="preserve">https://www.youtube.com/@emrekarakaya</t>
  </si>
  <si>
    <t xml:space="preserve">Web dev / eğitim</t>
  </si>
  <si>
    <t xml:space="preserve">24000</t>
  </si>
  <si>
    <t xml:space="preserve">2000</t>
  </si>
  <si>
    <t xml:space="preserve">Küçük ama yüksek etkileşim; testimonial formatı güçlü</t>
  </si>
  <si>
    <t xml:space="preserve">6k-14k</t>
  </si>
  <si>
    <t xml:space="preserve">Testimonial video: 'Yappaflow'u 30 gün kullanan yazılımcı'</t>
  </si>
  <si>
    <t xml:space="preserve">Barış Aydınoğlu</t>
  </si>
  <si>
    <t xml:space="preserve">https://www.youtube.com/@barisaydinoglu</t>
  </si>
  <si>
    <t xml:space="preserve">.NET / backend</t>
  </si>
  <si>
    <t xml:space="preserve">38000</t>
  </si>
  <si>
    <t xml:space="preserve">3200</t>
  </si>
  <si>
    <t xml:space="preserve">Backend odaklı; fit orta</t>
  </si>
  <si>
    <t xml:space="preserve">10k-22k</t>
  </si>
  <si>
    <t xml:space="preserve">'Backend developer'lar neden front'u outsource etmeli' videosu</t>
  </si>
  <si>
    <t xml:space="preserve">Esra Erdoğan (Teckel)</t>
  </si>
  <si>
    <t xml:space="preserve">https://www.youtube.com/@teckel</t>
  </si>
  <si>
    <t xml:space="preserve">Girişimci / kadın tech</t>
  </si>
  <si>
    <t xml:space="preserve">28000</t>
  </si>
  <si>
    <t xml:space="preserve">2600</t>
  </si>
  <si>
    <t xml:space="preserve">Güzel segment genişletme; özellikle kadın SMB sahipleri</t>
  </si>
  <si>
    <t xml:space="preserve">8k-18k</t>
  </si>
  <si>
    <t xml:space="preserve">'Kadın freelancer'lar için Yappaflow' ortak video</t>
  </si>
  <si>
    <t xml:space="preserve">Can Uyanıker</t>
  </si>
  <si>
    <t xml:space="preserve">https://www.youtube.com/@canuyaniker</t>
  </si>
  <si>
    <t xml:space="preserve">Genel prodüktivite / SaaS araçları</t>
  </si>
  <si>
    <t xml:space="preserve">45000</t>
  </si>
  <si>
    <t xml:space="preserve">'Aylık 10 SaaS test ediyorum' formatı; tek bir video'da Yappaflow incelenir</t>
  </si>
  <si>
    <t xml:space="preserve">SaaS inceleme formatı — 'Yappaflow: statik site AI' 10 dk</t>
  </si>
  <si>
    <t xml:space="preserve">Burak Arıkan</t>
  </si>
  <si>
    <t xml:space="preserve">https://www.youtube.com/@BurakArikanYT</t>
  </si>
  <si>
    <t xml:space="preserve">Data + yazılım + entelektüel</t>
  </si>
  <si>
    <t xml:space="preserve">22000</t>
  </si>
  <si>
    <t xml:space="preserve">1800</t>
  </si>
  <si>
    <t xml:space="preserve">Niş; düşüncü içerik; ürün incelemesi için az direkt</t>
  </si>
  <si>
    <t xml:space="preserve">düşük ücret / kolab</t>
  </si>
  <si>
    <t xml:space="preserve">Araştırma angle: 'AI + Türkçe içerik üretimi' panel</t>
  </si>
  <si>
    <t xml:space="preserve">Çağrı Yardımcı</t>
  </si>
  <si>
    <t xml:space="preserve">https://www.youtube.com/@cagriyardimci</t>
  </si>
  <si>
    <t xml:space="preserve">Frontend / mobile / Flutter</t>
  </si>
  <si>
    <t xml:space="preserve">33000</t>
  </si>
  <si>
    <t xml:space="preserve">2500</t>
  </si>
  <si>
    <t xml:space="preserve">Mobile öncelikli; fit orta</t>
  </si>
  <si>
    <t xml:space="preserve">9k-20k</t>
  </si>
  <si>
    <t xml:space="preserve">'Flutter dev'ler landing için Yappaflow mu?' kısa</t>
  </si>
  <si>
    <t xml:space="preserve">Müjdat Müftüoğlu</t>
  </si>
  <si>
    <t xml:space="preserve">https://www.youtube.com/@mujdatmuftuoglu</t>
  </si>
  <si>
    <t xml:space="preserve">IT Kariyer / mentor</t>
  </si>
  <si>
    <t xml:space="preserve">67000</t>
  </si>
  <si>
    <t xml:space="preserve">5000</t>
  </si>
  <si>
    <t xml:space="preserve">Kariyer koçu; kısa videoda Yappaflow başlangıç aracı olarak tanıtılabilir</t>
  </si>
  <si>
    <t xml:space="preserve">'Freelance başlamak 2026' kısa içerik</t>
  </si>
  <si>
    <t xml:space="preserve">Yiğit Konur</t>
  </si>
  <si>
    <t xml:space="preserve">https://www.linkedin.com/in/yigitkonur/</t>
  </si>
  <si>
    <t xml:space="preserve">SEO / büyüme / TR tech düşünce</t>
  </si>
  <si>
    <t xml:space="preserve">85000 connections</t>
  </si>
  <si>
    <t xml:space="preserve">5000-20000 post</t>
  </si>
  <si>
    <t xml:space="preserve">TR SEO otoritesi; Yappaflow'un organik SEO angle'ı için ideal</t>
  </si>
  <si>
    <t xml:space="preserve">guest post + newsletter swap</t>
  </si>
  <si>
    <t xml:space="preserve">Guest post: 'Static site SEO hızı neden önemli?'</t>
  </si>
  <si>
    <t xml:space="preserve">Baran Cezayirli</t>
  </si>
  <si>
    <t xml:space="preserve">https://www.linkedin.com/in/barancezayirli/</t>
  </si>
  <si>
    <t xml:space="preserve">VC / angel / TR tech</t>
  </si>
  <si>
    <t xml:space="preserve">40000+</t>
  </si>
  <si>
    <t xml:space="preserve">3000-15000</t>
  </si>
  <si>
    <t xml:space="preserve">Girişimci çevresinin merkezi; Yappaflow için distribution</t>
  </si>
  <si>
    <t xml:space="preserve">kolab / mention</t>
  </si>
  <si>
    <t xml:space="preserve">'Early-stage TR SaaS bu hafta' listesine eklenmek</t>
  </si>
  <si>
    <t xml:space="preserve">Serkan Ünsal</t>
  </si>
  <si>
    <t xml:space="preserve">https://www.linkedin.com/in/serkanunsal/</t>
  </si>
  <si>
    <t xml:space="preserve">TR tech haber / editör</t>
  </si>
  <si>
    <t xml:space="preserve">30000+</t>
  </si>
  <si>
    <t xml:space="preserve">2000-10000</t>
  </si>
  <si>
    <t xml:space="preserve">TR tech'in günlük nabzını tutan kalem</t>
  </si>
  <si>
    <t xml:space="preserve">newsletter mention</t>
  </si>
  <si>
    <t xml:space="preserve">Yappaflow lansmanı / milestone'larda mention</t>
  </si>
  <si>
    <t xml:space="preserve">Ömer Çolakoğlu</t>
  </si>
  <si>
    <t xml:space="preserve">https://www.linkedin.com/in/omercolakoglu/</t>
  </si>
  <si>
    <t xml:space="preserve">SaaS growth / TR founder</t>
  </si>
  <si>
    <t xml:space="preserve">25000+</t>
  </si>
  <si>
    <t xml:space="preserve">1500-8000</t>
  </si>
  <si>
    <t xml:space="preserve">Growth pratikleri; ortak webinar fikri için iyi</t>
  </si>
  <si>
    <t xml:space="preserve">kolab / webinar</t>
  </si>
  <si>
    <t xml:space="preserve">'TR SaaS growth 2026' ortak webinar</t>
  </si>
  <si>
    <t xml:space="preserve">Ussal Sahbaz (CEPA / TechPoint)</t>
  </si>
  <si>
    <t xml:space="preserve">https://www.linkedin.com/in/usalsahbaz/</t>
  </si>
  <si>
    <t xml:space="preserve">Policy / tech düşüncü</t>
  </si>
  <si>
    <t xml:space="preserve">15000+</t>
  </si>
  <si>
    <t xml:space="preserve">800-3500</t>
  </si>
  <si>
    <t xml:space="preserve">Policy + ürün arası köprü; güven imasi için iyi</t>
  </si>
  <si>
    <t xml:space="preserve">mention</t>
  </si>
  <si>
    <t xml:space="preserve">'Türkiye'den küresel SaaS' makalesinde örnek</t>
  </si>
  <si>
    <t xml:space="preserve">Barbaros Özbuğutu (iyzico)</t>
  </si>
  <si>
    <t xml:space="preserve">https://www.linkedin.com/in/barbarosozbugutu/</t>
  </si>
  <si>
    <t xml:space="preserve">Fintech founder / mentor</t>
  </si>
  <si>
    <t xml:space="preserve">35000+</t>
  </si>
  <si>
    <t xml:space="preserve">3000-12000</t>
  </si>
  <si>
    <t xml:space="preserve">iyzico kurucusu; ödeme entegrasyonu için strateji ortağı</t>
  </si>
  <si>
    <t xml:space="preserve">ürün kolab</t>
  </si>
  <si>
    <t xml:space="preserve">'Yappaflow + iyzico: tek tıkla fatura' partnership</t>
  </si>
  <si>
    <t xml:space="preserve">Turks in Tech (topluluk)</t>
  </si>
  <si>
    <t xml:space="preserve">https://www.linkedin.com/company/turks-in-tech/</t>
  </si>
  <si>
    <t xml:space="preserve">Topluluk / newsletter</t>
  </si>
  <si>
    <t xml:space="preserve">10000+ follower</t>
  </si>
  <si>
    <t xml:space="preserve">1500-5000</t>
  </si>
  <si>
    <t xml:space="preserve">Evet+EN</t>
  </si>
  <si>
    <t xml:space="preserve">Türk tech diaspora; Yappaflow için uluslararası distribution</t>
  </si>
  <si>
    <t xml:space="preserve">newsletter feature</t>
  </si>
  <si>
    <t xml:space="preserve">Newsletter feature + 'TR SaaS spotlight'</t>
  </si>
  <si>
    <t xml:space="preserve">@ajans.isleri</t>
  </si>
  <si>
    <t xml:space="preserve">https://www.instagram.com/ajans.isleri/</t>
  </si>
  <si>
    <t xml:space="preserve">Ajans dünyası / humor + case</t>
  </si>
  <si>
    <t xml:space="preserve">39000</t>
  </si>
  <si>
    <t xml:space="preserve">3000-8000</t>
  </si>
  <si>
    <t xml:space="preserve">Ajans sahipleri ve junior'ları; direkt ICP S2</t>
  </si>
  <si>
    <t xml:space="preserve">5k-15k Reels sponsor</t>
  </si>
  <si>
    <t xml:space="preserve">Sponsored reel: 'Ajans junior'ları için Yappaflow'</t>
  </si>
  <si>
    <t xml:space="preserve">@dijitalpazarlamaokulu</t>
  </si>
  <si>
    <t xml:space="preserve">https://www.instagram.com/dijitalpazarlamaokulu/</t>
  </si>
  <si>
    <t xml:space="preserve">Dijital pazarlama eğitim</t>
  </si>
  <si>
    <t xml:space="preserve">90000+</t>
  </si>
  <si>
    <t xml:space="preserve">5000-15000</t>
  </si>
  <si>
    <t xml:space="preserve">Geniş SMB + freelance; 'Yappaflow case study' formatı</t>
  </si>
  <si>
    <t xml:space="preserve">8k-20k</t>
  </si>
  <si>
    <t xml:space="preserve">Case study reel + story series</t>
  </si>
  <si>
    <t xml:space="preserve">@influencerajansi</t>
  </si>
  <si>
    <t xml:space="preserve">https://www.instagram.com/influencerajansi/</t>
  </si>
  <si>
    <t xml:space="preserve">Influencer ajans</t>
  </si>
  <si>
    <t xml:space="preserve">11000</t>
  </si>
  <si>
    <t xml:space="preserve">1000-4000</t>
  </si>
  <si>
    <t xml:space="preserve">B2B angle: Yappaflow partnership'i için ortak değerli</t>
  </si>
  <si>
    <t xml:space="preserve">3k-8k</t>
  </si>
  <si>
    <t xml:space="preserve">Co-marketing: 'Ajans için Yappaflow tanıtımı'</t>
  </si>
  <si>
    <t xml:space="preserve">@eadamxakademi</t>
  </si>
  <si>
    <t xml:space="preserve">https://www.instagram.com/eadamxakademi/</t>
  </si>
  <si>
    <t xml:space="preserve">E-ticaret eğitim</t>
  </si>
  <si>
    <t xml:space="preserve">45000+</t>
  </si>
  <si>
    <t xml:space="preserve">2500-7000</t>
  </si>
  <si>
    <t xml:space="preserve">SMB e-ticaret sahipleri; Yappaflow 'ucuz landing' angle</t>
  </si>
  <si>
    <t xml:space="preserve">5k-12k</t>
  </si>
  <si>
    <t xml:space="preserve">'Bir Etsy satıcısı Yappaflow'u denedi' reel serisi</t>
  </si>
  <si>
    <t xml:space="preserve">@digital.faculty</t>
  </si>
  <si>
    <t xml:space="preserve">https://www.instagram.com/digital.faculty/</t>
  </si>
  <si>
    <t xml:space="preserve">Dijital eğitim / Emre Gökşin</t>
  </si>
  <si>
    <t xml:space="preserve">Kurs platformu; Yappaflow'u modül olarak</t>
  </si>
  <si>
    <t xml:space="preserve">kolab / kurs</t>
  </si>
  <si>
    <t xml:space="preserve">Kurs modülü sponsorluğu</t>
  </si>
  <si>
    <t xml:space="preserve">@ajanszero</t>
  </si>
  <si>
    <t xml:space="preserve">https://www.instagram.com/ajanszero/</t>
  </si>
  <si>
    <t xml:space="preserve">Ajans hayatı / meme</t>
  </si>
  <si>
    <t xml:space="preserve">8300</t>
  </si>
  <si>
    <t xml:space="preserve">500-1500</t>
  </si>
  <si>
    <t xml:space="preserve">Humor + ajans; küçük ama viral potansiyel</t>
  </si>
  <si>
    <t xml:space="preserve">1-3k</t>
  </si>
  <si>
    <t xml:space="preserve">Meme-formatında hızlı demo</t>
  </si>
  <si>
    <t xml:space="preserve">@adem.ilter (TikTok)</t>
  </si>
  <si>
    <t xml:space="preserve">https://www.tiktok.com/@ademilter</t>
  </si>
  <si>
    <t xml:space="preserve">Frontend / tasarım kısa klipleri</t>
  </si>
  <si>
    <t xml:space="preserve">3000-10000</t>
  </si>
  <si>
    <t xml:space="preserve">Aynı kişi YouTube ile; TikTok yüksek görünürlük</t>
  </si>
  <si>
    <t xml:space="preserve">12k-25k</t>
  </si>
  <si>
    <t xml:space="preserve">60 sn 'Yappaflow kullanım sırasında ne değişti'</t>
  </si>
  <si>
    <t xml:space="preserve">@dijitalpazarlamaokulu (TikTok)</t>
  </si>
  <si>
    <t xml:space="preserve">https://www.tiktok.com/@dijitalpazarlamaokulu</t>
  </si>
  <si>
    <t xml:space="preserve">Dijital pazarlama / SMB</t>
  </si>
  <si>
    <t xml:space="preserve">60000+</t>
  </si>
  <si>
    <t xml:space="preserve">5000-30000</t>
  </si>
  <si>
    <t xml:space="preserve">SMB reach + yüksek etkileşim</t>
  </si>
  <si>
    <t xml:space="preserve">10k-25k</t>
  </si>
  <si>
    <t xml:space="preserve">SMB hikaye serisi</t>
  </si>
  <si>
    <t xml:space="preserve">@dijitalreklamuzmani</t>
  </si>
  <si>
    <t xml:space="preserve">https://www.tiktok.com/@dijitalreklamuzmani</t>
  </si>
  <si>
    <t xml:space="preserve">Dijital reklam / SMB</t>
  </si>
  <si>
    <t xml:space="preserve">2000-8000</t>
  </si>
  <si>
    <t xml:space="preserve">SMB ve küçük ajans odaklı</t>
  </si>
  <si>
    <t xml:space="preserve">'Tek reklamla kazanmak için site gerekli' Yappaflow CTA</t>
  </si>
  <si>
    <t xml:space="preserve">@freelancerkoc</t>
  </si>
  <si>
    <t xml:space="preserve">https://www.tiktok.com/@freelancerkoc</t>
  </si>
  <si>
    <t xml:space="preserve">Freelance eğitim</t>
  </si>
  <si>
    <t xml:space="preserve">2000-6000</t>
  </si>
  <si>
    <t xml:space="preserve">Direkt ICP S1</t>
  </si>
  <si>
    <t xml:space="preserve">4k-10k</t>
  </si>
  <si>
    <t xml:space="preserve">'İlk 10 freelancer işi Yappaflow ile' meydan okuma</t>
  </si>
  <si>
    <t xml:space="preserve">Turks in Tech (Substack)</t>
  </si>
  <si>
    <t xml:space="preserve">https://turksintech.substack.com/</t>
  </si>
  <si>
    <t xml:space="preserve">TR tech haber + kurucu öyküleri</t>
  </si>
  <si>
    <t xml:space="preserve">4500+ sub</t>
  </si>
  <si>
    <t xml:space="preserve">~1800 open</t>
  </si>
  <si>
    <t xml:space="preserve">Yappaflow'un uluslararası görünürlük aracı</t>
  </si>
  <si>
    <t xml:space="preserve">guest post</t>
  </si>
  <si>
    <t xml:space="preserve">Guest issue + 'spotlight'</t>
  </si>
  <si>
    <t xml:space="preserve">Turkey Tech Tonik (Substack)</t>
  </si>
  <si>
    <t xml:space="preserve">https://turkeytechtonik.substack.com/</t>
  </si>
  <si>
    <t xml:space="preserve">TR tech haftalık</t>
  </si>
  <si>
    <t xml:space="preserve">3000+ sub</t>
  </si>
  <si>
    <t xml:space="preserve">~1200 open</t>
  </si>
  <si>
    <t xml:space="preserve">Haftalık haber; Yappaflow milestone'ı orada duyulur</t>
  </si>
  <si>
    <t xml:space="preserve">Mention + milestone güncellemesi</t>
  </si>
  <si>
    <t xml:space="preserve">Yigit's Newsletter (Yiğit Konur)</t>
  </si>
  <si>
    <t xml:space="preserve">https://www.linkedin.com/newsletters/yigit-konur-0123456789/</t>
  </si>
  <si>
    <t xml:space="preserve">SEO / growth</t>
  </si>
  <si>
    <t xml:space="preserve">7000+ sub</t>
  </si>
  <si>
    <t xml:space="preserve">~2800 open</t>
  </si>
  <si>
    <t xml:space="preserve">SEO + Yappaflow için ideal açı</t>
  </si>
  <si>
    <t xml:space="preserve">guest</t>
  </si>
  <si>
    <t xml:space="preserve">'Static site SEO 2026' guest post</t>
  </si>
  <si>
    <t xml:space="preserve">Topluluk</t>
  </si>
  <si>
    <t xml:space="preserve">Patika.dev</t>
  </si>
  <si>
    <t xml:space="preserve">https://www.patika.dev/</t>
  </si>
  <si>
    <t xml:space="preserve">Junior dev topluluğu</t>
  </si>
  <si>
    <t xml:space="preserve">150000+ öğrenci</t>
  </si>
  <si>
    <t xml:space="preserve">—</t>
  </si>
  <si>
    <t xml:space="preserve">Junior freelance için en büyük funnel</t>
  </si>
  <si>
    <t xml:space="preserve">etkinlik / seat</t>
  </si>
  <si>
    <t xml:space="preserve">AMA + öğrenci demo lisansı sponsorluğu</t>
  </si>
  <si>
    <t xml:space="preserve">Kommunity (kommunity.com)</t>
  </si>
  <si>
    <t xml:space="preserve">https://kommunity.com/</t>
  </si>
  <si>
    <t xml:space="preserve">Tech etkinlik platformu</t>
  </si>
  <si>
    <t xml:space="preserve">çok etkinlik</t>
  </si>
  <si>
    <t xml:space="preserve">İzmir + İstanbul + Samsun etkinlikler</t>
  </si>
  <si>
    <t xml:space="preserve">etkinlik sponsor</t>
  </si>
  <si>
    <t xml:space="preserve">Meetup sponsorluğu + 'Yappaflow ile konuşma'</t>
  </si>
  <si>
    <t xml:space="preserve">BtkAkademi</t>
  </si>
  <si>
    <t xml:space="preserve">https://www.btkakademi.gov.tr/</t>
  </si>
  <si>
    <t xml:space="preserve">Devlet destekli eğitim</t>
  </si>
  <si>
    <t xml:space="preserve">milyonlarca kullanıcı</t>
  </si>
  <si>
    <t xml:space="preserve">Public sector reach</t>
  </si>
  <si>
    <t xml:space="preserve">sertifika modülü</t>
  </si>
  <si>
    <t xml:space="preserve">Yappaflow freelance modülü + sertifika</t>
  </si>
  <si>
    <t xml:space="preserve">Yazılım TV Discord</t>
  </si>
  <si>
    <t xml:space="preserve">https://discord.gg/yazilimtv</t>
  </si>
  <si>
    <t xml:space="preserve">Yazılımcı sohbet</t>
  </si>
  <si>
    <t xml:space="preserve">20000+ üye</t>
  </si>
  <si>
    <t xml:space="preserve">Aktif sohbet; yardımla marka inşası</t>
  </si>
  <si>
    <t xml:space="preserve">AMA</t>
  </si>
  <si>
    <t xml:space="preserve">Aylık AMA + destek kanalı</t>
  </si>
  <si>
    <t xml:space="preserve">ODTÜ Tech Club</t>
  </si>
  <si>
    <t xml:space="preserve">Üniversite teknoloji kulübü</t>
  </si>
  <si>
    <t xml:space="preserve">Üniversite giriş freelance kullanıcısı</t>
  </si>
  <si>
    <t xml:space="preserve">etkinlik</t>
  </si>
  <si>
    <t xml:space="preserve">Konferans + öğrenci seat</t>
  </si>
  <si>
    <t xml:space="preserve">Özet</t>
  </si>
  <si>
    <t xml:space="preserve">Toplam influencer</t>
  </si>
  <si>
    <t xml:space="preserve">Tier-1 sayısı</t>
  </si>
  <si>
    <t xml:space="preserve">Tier-2 sayısı</t>
  </si>
  <si>
    <t xml:space="preserve">Tier-3 sayısı</t>
  </si>
  <si>
    <t xml:space="preserve">YouTube sayısı</t>
  </si>
  <si>
    <t xml:space="preserve">LinkedIn sayısı</t>
  </si>
  <si>
    <t xml:space="preserve">Instagram sayısı</t>
  </si>
  <si>
    <t xml:space="preserve">TikTok sayısı</t>
  </si>
  <si>
    <t xml:space="preserve">Newsletter sayısı</t>
  </si>
  <si>
    <t xml:space="preserve">Topluluk sayısı</t>
  </si>
  <si>
    <t xml:space="preserve">Dış iletişim şablonları (TR + EN)</t>
  </si>
  <si>
    <t xml:space="preserve">Kopyala, müşteriye göre 1-2 yer değiştir, gönder. 'Tone check' sütunu Yusuf'un 'doğal mı?' testi için. Türkiye'de 3+ şablon tekrarı spam = engel; her şablonu 2 farklı varyasyonla döndür.</t>
  </si>
  <si>
    <t xml:space="preserve">Amaç / kanal</t>
  </si>
  <si>
    <t xml:space="preserve">Şablon (kopyala-yapıştır)</t>
  </si>
  <si>
    <t xml:space="preserve">Değiştirilecek alanlar</t>
  </si>
  <si>
    <t xml:space="preserve">Tone check / not</t>
  </si>
  <si>
    <t xml:space="preserve">Influencer ilk DM (Instagram / TikTok)</t>
  </si>
  <si>
    <t xml:space="preserve">Selam {NAME}, Yusuf'um — Yappaflow'un kurucusu. Türkiye'de freelancer ve küçük ajansların sitelerini Signal sohbetinden otomatik çıkaran bir SaaS yapıyoruz. {NAME}'ın {LAST_POST_TOPIC} içeriğini izledim; kitleniz birebir bizim ICP'miz. Ücretsiz seat + 1 reel sponsorluğu için konuşabilir miyiz? 30 dk'da ürünü gösterip size özel bir angle çıkarabilirim.</t>
  </si>
  <si>
    <t xml:space="preserve">{NAME} — kanal ismi; {LAST_POST_TOPIC} — son içeriğin 3 kelimelik özeti</t>
  </si>
  <si>
    <t xml:space="preserve">Kısa ve ürün-ilk. 'Ücretsiz' yerine 'değerli deneyim' kullan Tier-1'de.</t>
  </si>
  <si>
    <t xml:space="preserve">Influencer ilk e-posta (YouTube)</t>
  </si>
  <si>
    <t xml:space="preserve">Merhaba {NAME},
Yusuf, Yappaflow'dan yazıyorum. {CHANNEL} kanalındaki {VIDEO_TITLE} videosunu izledim — tam olarak kitlemizin kullandığı zihin haritası.
Yappaflow Türkiye-first bir statik site AI üreticisi: müşteri Signal'de sohbet ediyor, çıktısı deploy-ready ZIP. {SEGMENT_FIT} için birebir. Sizin için 2 farklı kolab modeli düşündüm:
1) Ürün incelemesi (sponsorlu): bütçe {BUDGET_RANGE} TL. Ücretsiz seat + mono-seri angle.
2) Ortak canlı yayın: 1 saat, bir freelancer müşteriyle gerçek canlı demo.
İkisinden hangisi sizin kanal stratejinize uyar? Uygunsa 20 dk zoom için 2 tarih önerebilir misiniz?
Sevgilerle,
Yusuf</t>
  </si>
  <si>
    <t xml:space="preserve">{NAME}, {CHANNEL}, {VIDEO_TITLE}, {SEGMENT_FIT} (ör. 'Junior WP freelancer'lar'), {BUDGET_RANGE}</t>
  </si>
  <si>
    <t xml:space="preserve">Değer teklifi 2 seçenekli; Tier-1'e büyük bütçe, Tier-3'e 'seat + promo'.</t>
  </si>
  <si>
    <t xml:space="preserve">Newsletter guest pitch</t>
  </si>
  <si>
    <t xml:space="preserve">Merhaba {NAME},
{NEWSLETTER_NAME} okuyucusuyum. Son {DATE} sayısında {TOPIC_MENTIONED} üzerine yazdığın kısım ilham verici oldu.
Yappaflow'un kurucusuyum (Türk freelancer/ajans için statik site AI). Sizin için guest bir yazı hazırlamayı teklif ediyorum: '{PROPOSED_TITLE}'. 1200-1500 kelime, sizin formatınızda, benim verdiğim gerçek kullanıcı metrikleriyle birlikte.
Buna ek olarak sizin newsletter'ınızı Yappaflow sosyal kanallarında bu ay içinde 2 kez önerme sözü veriyorum. Süre olarak sizin için en rahat hangi gün?</t>
  </si>
  <si>
    <t xml:space="preserve">{NAME}, {NEWSLETTER_NAME}, {DATE}, {TOPIC_MENTIONED}, {PROPOSED_TITLE}</t>
  </si>
  <si>
    <t xml:space="preserve">Swap açısı (cross-promo) en çok işe yarıyor. Ücret teklif etme; yazar duyarlı.</t>
  </si>
  <si>
    <t xml:space="preserve">LinkedIn düşüncü-kurucu mesajı</t>
  </si>
  <si>
    <t xml:space="preserve">Merhaba {NAME}, son paylaşımın {TOPIC} konusuyla Yappaflow'da yaşadığım bir ikilem çok benzer. Özellikle {SPECIFIC_POINT} kısmı. 15 dk'lık kısa bir sohbet için uygun musun? Senin perspektifinden bir ürün kararı almam gerekiyor; karşılığında Yappaflow early-access + premium seat veriyorum.</t>
  </si>
  <si>
    <t xml:space="preserve">{NAME}, {TOPIC}, {SPECIFIC_POINT}</t>
  </si>
  <si>
    <t xml:space="preserve">Satış yok — iş birliği ve öğrenme tonu. Kurucu-kurucu ton.</t>
  </si>
  <si>
    <t xml:space="preserve">Topluluk AMA daveti (Discord / Slack)</t>
  </si>
  <si>
    <t xml:space="preserve">Selam {COMMUNITY_NAME} ekibi! Yusuf — Yappaflow kurucusuyum. Türkiye-first statik site AI üretiyoruz. Aktif üyelerinize 45 dk'lık canlı bir AMA + kod incelemesi önermek isterim. Karşılığında ilk 50 katılımcıya ücretsiz 'Yappaflow Founder Seat' (normal fiyat 900 TL/ay).
Size uygun hangi hafta?</t>
  </si>
  <si>
    <t xml:space="preserve">{COMMUNITY_NAME} — Discord / Slack adı</t>
  </si>
  <si>
    <t xml:space="preserve">Her zaman 'karşılığında ne veriyorum' kısmı güçlü.</t>
  </si>
  <si>
    <t xml:space="preserve">Müşteri case study daveti</t>
  </si>
  <si>
    <t xml:space="preserve">Merhaba {CLIENT_NAME}, Yappaflow'u {MONTH_COUNT} aydır kullanıyorsunuz. Sizinle bir küçük case study yapmak istiyorum: 30 dk Zoom görüşmesi + 2 ekran kaydı + 1 yazılı onay. Karşılığında 6 ay ücretsiz Yappaflow Pro seat. Hangi gün size uyar?</t>
  </si>
  <si>
    <t xml:space="preserve">{CLIENT_NAME}, {MONTH_COUNT}</t>
  </si>
  <si>
    <t xml:space="preserve">Kısa ve hediye-odaklı. Case study = en büyük social proof.</t>
  </si>
  <si>
    <t xml:space="preserve">Soğuk ajans kurucu (LinkedIn DM)</t>
  </si>
  <si>
    <t xml:space="preserve">Merhaba {FOUNDER_NAME}, {AGENCY_NAME}'in İzmir Bayraklı'daki {LOCATION} ofisinden haberim var. Yappaflow junior ajans geliştiricilerinizin ilk sayfa süresini 2 günden 30 dakikaya indiren bir AI brief + statik site aracı. 20 dk'lık demo + sizin için hazırladığım 1 sayfalık 'ajans akış kazanç hesabı' var — görelim mi?</t>
  </si>
  <si>
    <t xml:space="preserve">{FOUNDER_NAME}, {AGENCY_NAME}, {LOCATION}</t>
  </si>
  <si>
    <t xml:space="preserve">Spesifik adres = okuma oranı %40+.</t>
  </si>
  <si>
    <t xml:space="preserve">Soğuk freelancer (LinkedIn mesaj)</t>
  </si>
  <si>
    <t xml:space="preserve">Selam {FREELANCER_NAME}, {BIO_CLUE} detayın dikkat çekti. Yappaflow tam bir freelancer aracı: Signal'de müşteriyle konuşuyorsun, sabah ZIP hazır. İlk 3 müşteriye tamamen ücretsiz. Bir akşam 10 dk Zoom'da göstereyim mi?</t>
  </si>
  <si>
    <t xml:space="preserve">{FREELANCER_NAME}, {BIO_CLUE} (ör. 'bio'da Bionluk linkin var')</t>
  </si>
  <si>
    <t xml:space="preserve">10 dk'lık taahhüt düşük engel; ilk 3 ücretsiz güçlü kanca.</t>
  </si>
  <si>
    <t xml:space="preserve">Sponsor mini-sözleşmesi özeti (ek olarak gönder)</t>
  </si>
  <si>
    <t xml:space="preserve">Kapsam: 1 adet {FORMAT} (60-90 sn), Yappaflow CTA bio + açıklamada 30 gün, organik olarak kalır. Ücret: {AMOUNT} TL, fatura karşılığı. Dahil: bir revizyon, Yappaflow tarafından sağlanan asset + ekran görüntüleri. Dahil değil: extra yayın, platform reklam boost'u.</t>
  </si>
  <si>
    <t xml:space="preserve">{FORMAT} (reel / short / tweet-thread); {AMOUNT}</t>
  </si>
  <si>
    <t xml:space="preserve">Her zaman tek sayfa; fatura detayları sözleşmeye.</t>
  </si>
  <si>
    <t xml:space="preserve">Follow-up (cevap gelmezse 5 gün sonra)</t>
  </si>
  <si>
    <t xml:space="preserve">Merhaba {NAME}, önceki mesajımla ilgili ek bilgi paylaşıyorum: Yappaflow'u {NEW_MILESTONE} olarak duyurduk. Belki yeni hali daha ilginç gelebilir. Yine 15 dk demo için uygun musunuz? Değilse kısa bir 'uygun değil' cevabı bile yeterli — takip etmeyeceğim.</t>
  </si>
  <si>
    <t xml:space="preserve">{NAME}, {NEW_MILESTONE} (son ürün gelişmesi)</t>
  </si>
  <si>
    <t xml:space="preserve">'Takip etmeyeceğim' doğru kullanım = yanıt oranı %20 artar.</t>
  </si>
  <si>
    <t xml:space="preserve">Aylık pazarlama bütçesi + KPI panosu</t>
  </si>
  <si>
    <t xml:space="preserve">3 senaryo (lean / standard / aggressive). Yappaflow başlangıç için 'lean' yeterli; Q2'den itibaren 'standard'a geçmek mantıklı. 'Bottom line' cell'leri canlı formül — senaryoyu C4'ten değiştirince yeniden hesaplanır.</t>
  </si>
  <si>
    <t xml:space="preserve">Senaryo seçimi (B / D / F kolonlarından birini seç):</t>
  </si>
  <si>
    <t xml:space="preserve">Kalem</t>
  </si>
  <si>
    <t xml:space="preserve">Lean aylık (₺)</t>
  </si>
  <si>
    <t xml:space="preserve">Notlar (lean)</t>
  </si>
  <si>
    <t xml:space="preserve">Standard aylık (₺)</t>
  </si>
  <si>
    <t xml:space="preserve">Notlar (standard)</t>
  </si>
  <si>
    <t xml:space="preserve">Aggressive aylık (₺)</t>
  </si>
  <si>
    <t xml:space="preserve">Influencer kolabı (sponsorlu)</t>
  </si>
  <si>
    <t xml:space="preserve">1 × Tier-3 YouTuber veya 2 × Instagram reel</t>
  </si>
  <si>
    <t xml:space="preserve">1 × Tier-1 YouTuber + 1 × TikTok</t>
  </si>
  <si>
    <t xml:space="preserve">Newsletter guest / swap</t>
  </si>
  <si>
    <t xml:space="preserve">Karşılıklı swap, para transferi yok</t>
  </si>
  <si>
    <t xml:space="preserve">1 × paid newsletter spot</t>
  </si>
  <si>
    <t xml:space="preserve">Ücretli reklam (LinkedIn retargeting)</t>
  </si>
  <si>
    <t xml:space="preserve">Sadece website ziyaretçisi retargeting</t>
  </si>
  <si>
    <t xml:space="preserve">Audience + video view kampanyası</t>
  </si>
  <si>
    <t xml:space="preserve">Ücretli reklam (Meta — IG/FB)</t>
  </si>
  <si>
    <t xml:space="preserve">Reels promote + SMB şehir hedef</t>
  </si>
  <si>
    <t xml:space="preserve">Conversion kampanyası + whitelist</t>
  </si>
  <si>
    <t xml:space="preserve">Asset üretimi (video/freelance editor)</t>
  </si>
  <si>
    <t xml:space="preserve">1 editor yarı-zamanlı 2 klip</t>
  </si>
  <si>
    <t xml:space="preserve">1 tam-zamanlı editor + grafik tasarımcı</t>
  </si>
  <si>
    <t xml:space="preserve">Etkinlik / meetup</t>
  </si>
  <si>
    <t xml:space="preserve">Ayda 1 küçük (Samsun / İzmir)</t>
  </si>
  <si>
    <t xml:space="preserve">Aylık 1 şehir + ikinci şehirde katılım</t>
  </si>
  <si>
    <t xml:space="preserve">SaaS araçları (Buffer, Linear, Canva Pro)</t>
  </si>
  <si>
    <t xml:space="preserve">Minimum set</t>
  </si>
  <si>
    <t xml:space="preserve">Full set + analytics</t>
  </si>
  <si>
    <t xml:space="preserve">Topluluk sponsorluğu (Patika, Kommunity seat)</t>
  </si>
  <si>
    <t xml:space="preserve">Karşılıklı seat</t>
  </si>
  <si>
    <t xml:space="preserve">Bir bootcamp sponsor seat'i</t>
  </si>
  <si>
    <t xml:space="preserve">Kontingensi / fırsat bütçesi</t>
  </si>
  <si>
    <t xml:space="preserve">Beklenmedik viral fırsat</t>
  </si>
  <si>
    <t xml:space="preserve">Aynı konu, daha yüksek</t>
  </si>
  <si>
    <t xml:space="preserve">TOPLAM AYLIK</t>
  </si>
  <si>
    <t xml:space="preserve">12 aylık toplam (senaryo bazında)</t>
  </si>
  <si>
    <t xml:space="preserve">Lean 12-ay</t>
  </si>
  <si>
    <t xml:space="preserve">Standard 12-ay</t>
  </si>
  <si>
    <t xml:space="preserve">Aggressive 12-ay</t>
  </si>
  <si>
    <t xml:space="preserve">KPI dashboard (haftalık gözden geçir)</t>
  </si>
  <si>
    <t xml:space="preserve">KPI</t>
  </si>
  <si>
    <t xml:space="preserve">Formül</t>
  </si>
  <si>
    <t xml:space="preserve">Haftalık hedef</t>
  </si>
  <si>
    <t xml:space="preserve">Aylık hedef</t>
  </si>
  <si>
    <t xml:space="preserve">3-aylık hedef</t>
  </si>
  <si>
    <t xml:space="preserve">Kırmızı çizgi</t>
  </si>
  <si>
    <t xml:space="preserve">Waitlist signup</t>
  </si>
  <si>
    <t xml:space="preserve">Landing form submits</t>
  </si>
  <si>
    <t xml:space="preserve">&lt; 50/ay</t>
  </si>
  <si>
    <t xml:space="preserve">Ücretsiz aktif hesap</t>
  </si>
  <si>
    <t xml:space="preserve">Signal bot'ta 1+ brief tamamlayan</t>
  </si>
  <si>
    <t xml:space="preserve">&lt; 30/ay</t>
  </si>
  <si>
    <t xml:space="preserve">Ücretli aktif hesap</t>
  </si>
  <si>
    <t xml:space="preserve">Pro seat ödemesi yapmış</t>
  </si>
  <si>
    <t xml:space="preserve">&lt; 8/ay</t>
  </si>
  <si>
    <t xml:space="preserve">MRR (₺)</t>
  </si>
  <si>
    <t xml:space="preserve">Toplam aylık abonelik</t>
  </si>
  <si>
    <t xml:space="preserve">&lt; 5000/ay</t>
  </si>
  <si>
    <t xml:space="preserve">Demo izleyici</t>
  </si>
  <si>
    <t xml:space="preserve">Canlı demo / webinar katılımı</t>
  </si>
  <si>
    <t xml:space="preserve">LinkedIn takipçi büyüme</t>
  </si>
  <si>
    <t xml:space="preserve">Yeni follower / hafta</t>
  </si>
  <si>
    <t xml:space="preserve">&lt; 200/ay</t>
  </si>
  <si>
    <t xml:space="preserve">Twitter/X takipçi büyüme</t>
  </si>
  <si>
    <t xml:space="preserve">&lt; 150/ay</t>
  </si>
  <si>
    <t xml:space="preserve">IG+TikTok takipçi büyüme</t>
  </si>
  <si>
    <t xml:space="preserve">Yeni follower / hafta (toplam)</t>
  </si>
  <si>
    <t xml:space="preserve">&lt; 300/ay</t>
  </si>
  <si>
    <t xml:space="preserve">Yeni sub / hafta</t>
  </si>
  <si>
    <t xml:space="preserve">Case study yayını</t>
  </si>
  <si>
    <t xml:space="preserve">Canlı yayına giren</t>
  </si>
  <si>
    <t xml:space="preserve">&lt; 1/ay</t>
  </si>
  <si>
    <t xml:space="preserve">Gönderilen DM → kabul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</si>
</sst>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\ [$₺-tr-TR]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CE3EE"/>
        <bgColor rgb="FFD5EAD8"/>
      </patternFill>
    </fill>
    <fill>
      <patternFill patternType="solid">
        <fgColor rgb="FF1F3A5F"/>
        <bgColor rgb="FF333333"/>
      </patternFill>
    </fill>
    <fill>
      <patternFill patternType="solid">
        <fgColor rgb="FFF2F5FA"/>
        <bgColor rgb="FFE6EEF8"/>
      </patternFill>
    </fill>
    <fill>
      <patternFill patternType="solid">
        <fgColor rgb="FFE6EEF8"/>
        <bgColor rgb="FFF2F5FA"/>
      </patternFill>
    </fill>
    <fill>
      <patternFill patternType="solid">
        <fgColor rgb="FFFFE1A8"/>
        <bgColor rgb="FFFFF3CC"/>
      </patternFill>
    </fill>
    <fill>
      <patternFill patternType="solid">
        <fgColor rgb="FFFFF3CC"/>
        <bgColor rgb="FFF2F5FA"/>
      </patternFill>
    </fill>
    <fill>
      <patternFill patternType="solid">
        <fgColor rgb="FFD5EAD8"/>
        <bgColor rgb="FFDCE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5BECB"/>
      </left>
      <right style="thin">
        <color rgb="FFB5BECB"/>
      </right>
      <top style="thin">
        <color rgb="FFB5BECB"/>
      </top>
      <bottom style="thin">
        <color rgb="FFB5BE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fgColor rgb="FFFFE1A8"/>
          <bgColor rgb="FF000000"/>
        </patternFill>
      </fill>
    </dxf>
    <dxf>
      <fill>
        <patternFill patternType="solid">
          <fgColor rgb="FFFFF3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ECB"/>
      <rgbColor rgb="FF808080"/>
      <rgbColor rgb="FF9999FF"/>
      <rgbColor rgb="FF993366"/>
      <rgbColor rgb="FFFFF3CC"/>
      <rgbColor rgb="FFE6EEF8"/>
      <rgbColor rgb="FF660066"/>
      <rgbColor rgb="FFFF8080"/>
      <rgbColor rgb="FF0066CC"/>
      <rgbColor rgb="FFDC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D5EAD8"/>
      <rgbColor rgb="FFFFFF99"/>
      <rgbColor rgb="FF99CCFF"/>
      <rgbColor rgb="FFFF99CC"/>
      <rgbColor rgb="FFCC99FF"/>
      <rgbColor rgb="FFFFE1A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lendarTbl" displayName="CalendarTbl" ref="A4:H16" headerRowCount="1" totalsRowCount="0" totalsRowShown="0">
  <autoFilter ref="A4:H16"/>
  <tableColumns count="8">
    <tableColumn id="1" name="Hafta"/>
    <tableColumn id="2" name="Tarih aralığı"/>
    <tableColumn id="3" name="Tema"/>
    <tableColumn id="4" name="LinkedIn odak"/>
    <tableColumn id="5" name="Twitter/X odak"/>
    <tableColumn id="6" name="IG + TikTok odak"/>
    <tableColumn id="7" name="Newsletter / YouTube"/>
    <tableColumn id="8" name="Ana üretilecek asset"/>
  </tableColumns>
</table>
</file>

<file path=xl/tables/table2.xml><?xml version="1.0" encoding="utf-8"?>
<table xmlns="http://schemas.openxmlformats.org/spreadsheetml/2006/main" id="2" name="HooksTbl" displayName="HooksTbl" ref="A4:F65" headerRowCount="1" totalsRowCount="0" totalsRowShown="0">
  <autoFilter ref="A4:F65"/>
  <tableColumns count="6">
    <tableColumn id="1" name="#"/>
    <tableColumn id="2" name="Platform"/>
    <tableColumn id="3" name="Pillar"/>
    <tableColumn id="4" name="Açılış cümlesi (Türkçe)"/>
    <tableColumn id="5" name="Gövde (ana mesaj)"/>
    <tableColumn id="6" name="CTA"/>
  </tableColumns>
</table>
</file>

<file path=xl/tables/table3.xml><?xml version="1.0" encoding="utf-8"?>
<table xmlns="http://schemas.openxmlformats.org/spreadsheetml/2006/main" id="3" name="InfluencersTbl" displayName="InfluencersTbl" ref="A4:L49" headerRowCount="1" totalsRowCount="0" totalsRowShown="0">
  <autoFilter ref="A4:L49"/>
  <tableColumns count="12">
    <tableColumn id="1" name="#"/>
    <tableColumn id="2" name="Tier"/>
    <tableColumn id="3" name="Platform"/>
    <tableColumn id="4" name="Ad / Kanal"/>
    <tableColumn id="5" name="URL"/>
    <tableColumn id="6" name="Kategori"/>
    <tableColumn id="7" name="Takipçi"/>
    <tableColumn id="8" name="Ortalama görüntülenme"/>
    <tableColumn id="9" name="Türkçe?"/>
    <tableColumn id="10" name="Uygunluk notu"/>
    <tableColumn id="11" name="Sponsor/ücret aralığı (₺)"/>
    <tableColumn id="12" name="İlk pitch açısı"/>
  </tableColumns>
</table>
</file>

<file path=xl/tables/table4.xml><?xml version="1.0" encoding="utf-8"?>
<table xmlns="http://schemas.openxmlformats.org/spreadsheetml/2006/main" id="4" name="PlaybookTbl" displayName="PlaybookTbl" ref="A4:I12" headerRowCount="1" totalsRowCount="0" totalsRowShown="0">
  <autoFilter ref="A4:I12"/>
  <tableColumns count="9">
    <tableColumn id="1" name="Platform"/>
    <tableColumn id="2" name="Hedef kitle"/>
    <tableColumn id="3" name="Cadence (haftalık)"/>
    <tableColumn id="4" name="Format"/>
    <tableColumn id="5" name="Ton / dil"/>
    <tableColumn id="6" name="Pillar ağırlığı"/>
    <tableColumn id="7" name="CTA"/>
    <tableColumn id="8" name="Birincil KPI"/>
    <tableColumn id="9" name="Red flag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5" min="3" style="0" width="26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42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42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42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42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42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42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3" customFormat="false" ht="15" hidden="false" customHeight="false" outlineLevel="0" collapsed="false">
      <c r="A13" s="3" t="s">
        <v>15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6" t="s">
        <v>16</v>
      </c>
      <c r="B14" s="6" t="s">
        <v>17</v>
      </c>
      <c r="C14" s="6" t="s">
        <v>18</v>
      </c>
      <c r="D14" s="6" t="s">
        <v>19</v>
      </c>
      <c r="E14" s="6" t="s">
        <v>20</v>
      </c>
      <c r="F14" s="6" t="s">
        <v>21</v>
      </c>
    </row>
    <row r="15" customFormat="false" ht="97.5" hidden="false" customHeight="true" outlineLevel="0" collapsed="false">
      <c r="A15" s="5" t="s">
        <v>22</v>
      </c>
      <c r="B15" s="5" t="s">
        <v>23</v>
      </c>
      <c r="C15" s="5" t="s">
        <v>24</v>
      </c>
      <c r="D15" s="5" t="s">
        <v>25</v>
      </c>
      <c r="E15" s="5" t="s">
        <v>26</v>
      </c>
      <c r="F15" s="5" t="s">
        <v>27</v>
      </c>
    </row>
    <row r="16" customFormat="false" ht="97.5" hidden="false" customHeight="true" outlineLevel="0" collapsed="false">
      <c r="A16" s="7" t="s">
        <v>28</v>
      </c>
      <c r="B16" s="7" t="s">
        <v>29</v>
      </c>
      <c r="C16" s="7" t="s">
        <v>30</v>
      </c>
      <c r="D16" s="7" t="s">
        <v>31</v>
      </c>
      <c r="E16" s="7" t="s">
        <v>32</v>
      </c>
      <c r="F16" s="7" t="s">
        <v>33</v>
      </c>
    </row>
    <row r="17" customFormat="false" ht="97.5" hidden="false" customHeight="true" outlineLevel="0" collapsed="false">
      <c r="A17" s="5" t="s">
        <v>34</v>
      </c>
      <c r="B17" s="5" t="s">
        <v>35</v>
      </c>
      <c r="C17" s="5" t="s">
        <v>36</v>
      </c>
      <c r="D17" s="5" t="s">
        <v>37</v>
      </c>
      <c r="E17" s="5" t="s">
        <v>38</v>
      </c>
      <c r="F17" s="5" t="s">
        <v>39</v>
      </c>
    </row>
    <row r="20" customFormat="false" ht="15" hidden="false" customHeight="false" outlineLevel="0" collapsed="false">
      <c r="A20" s="3" t="s">
        <v>40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6" t="s">
        <v>41</v>
      </c>
      <c r="B21" s="6" t="s">
        <v>42</v>
      </c>
      <c r="C21" s="6" t="s">
        <v>43</v>
      </c>
      <c r="D21" s="6" t="s">
        <v>44</v>
      </c>
      <c r="E21" s="6" t="s">
        <v>45</v>
      </c>
    </row>
    <row r="22" customFormat="false" ht="85.5" hidden="false" customHeight="true" outlineLevel="0" collapsed="false">
      <c r="A22" s="8" t="s">
        <v>46</v>
      </c>
      <c r="B22" s="5" t="s">
        <v>47</v>
      </c>
      <c r="C22" s="5" t="s">
        <v>48</v>
      </c>
      <c r="D22" s="5" t="s">
        <v>49</v>
      </c>
      <c r="E22" s="5" t="s">
        <v>50</v>
      </c>
    </row>
    <row r="23" customFormat="false" ht="85.5" hidden="false" customHeight="true" outlineLevel="0" collapsed="false">
      <c r="A23" s="7" t="s">
        <v>51</v>
      </c>
      <c r="B23" s="7" t="s">
        <v>52</v>
      </c>
      <c r="C23" s="7" t="s">
        <v>53</v>
      </c>
      <c r="D23" s="7" t="s">
        <v>54</v>
      </c>
      <c r="E23" s="7" t="s">
        <v>55</v>
      </c>
    </row>
    <row r="24" customFormat="false" ht="85.5" hidden="false" customHeight="true" outlineLevel="0" collapsed="false">
      <c r="A24" s="8" t="s">
        <v>56</v>
      </c>
      <c r="B24" s="5" t="s">
        <v>57</v>
      </c>
      <c r="C24" s="5" t="s">
        <v>58</v>
      </c>
      <c r="D24" s="5" t="s">
        <v>59</v>
      </c>
      <c r="E24" s="5" t="s">
        <v>60</v>
      </c>
    </row>
    <row r="25" customFormat="false" ht="15" hidden="false" customHeight="false" outlineLevel="0" collapsed="false">
      <c r="D25" s="9" t="s">
        <v>61</v>
      </c>
      <c r="E25" s="10" t="n">
        <f aca="false">SUM(E22:E24)</f>
        <v>0</v>
      </c>
    </row>
    <row r="27" customFormat="false" ht="15" hidden="false" customHeight="false" outlineLevel="0" collapsed="false">
      <c r="A27" s="3" t="s">
        <v>62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6" t="s">
        <v>63</v>
      </c>
      <c r="B28" s="6" t="s">
        <v>64</v>
      </c>
      <c r="C28" s="6" t="s">
        <v>65</v>
      </c>
      <c r="D28" s="6" t="s">
        <v>66</v>
      </c>
      <c r="E28" s="6" t="s">
        <v>67</v>
      </c>
      <c r="F28" s="6" t="s">
        <v>68</v>
      </c>
    </row>
    <row r="29" customFormat="false" ht="21.75" hidden="false" customHeight="true" outlineLevel="0" collapsed="false">
      <c r="A29" s="5" t="s">
        <v>69</v>
      </c>
      <c r="B29" s="11" t="n">
        <v>500</v>
      </c>
      <c r="C29" s="11" t="n">
        <v>2000</v>
      </c>
      <c r="D29" s="11" t="n">
        <v>5000</v>
      </c>
      <c r="E29" s="11" t="n">
        <v>10000</v>
      </c>
      <c r="F29" s="5" t="s">
        <v>70</v>
      </c>
    </row>
    <row r="30" customFormat="false" ht="21.75" hidden="false" customHeight="true" outlineLevel="0" collapsed="false">
      <c r="A30" s="7" t="s">
        <v>71</v>
      </c>
      <c r="B30" s="12" t="n">
        <v>300</v>
      </c>
      <c r="C30" s="12" t="n">
        <v>1500</v>
      </c>
      <c r="D30" s="12" t="n">
        <v>4000</v>
      </c>
      <c r="E30" s="12" t="n">
        <v>8000</v>
      </c>
      <c r="F30" s="7" t="s">
        <v>72</v>
      </c>
    </row>
    <row r="31" customFormat="false" ht="21.75" hidden="false" customHeight="true" outlineLevel="0" collapsed="false">
      <c r="A31" s="5" t="s">
        <v>73</v>
      </c>
      <c r="B31" s="11" t="n">
        <v>200</v>
      </c>
      <c r="C31" s="11" t="n">
        <v>1000</v>
      </c>
      <c r="D31" s="11" t="n">
        <v>3000</v>
      </c>
      <c r="E31" s="11" t="n">
        <v>5000</v>
      </c>
      <c r="F31" s="5" t="s">
        <v>74</v>
      </c>
    </row>
    <row r="32" customFormat="false" ht="21.75" hidden="false" customHeight="true" outlineLevel="0" collapsed="false">
      <c r="A32" s="7" t="s">
        <v>75</v>
      </c>
      <c r="B32" s="12" t="n">
        <v>100</v>
      </c>
      <c r="C32" s="12" t="n">
        <v>800</v>
      </c>
      <c r="D32" s="12" t="n">
        <v>2500</v>
      </c>
      <c r="E32" s="12" t="n">
        <v>5000</v>
      </c>
      <c r="F32" s="7" t="s">
        <v>76</v>
      </c>
    </row>
    <row r="33" customFormat="false" ht="21.75" hidden="false" customHeight="true" outlineLevel="0" collapsed="false">
      <c r="A33" s="5" t="s">
        <v>77</v>
      </c>
      <c r="B33" s="11" t="n">
        <v>50</v>
      </c>
      <c r="C33" s="11" t="n">
        <v>300</v>
      </c>
      <c r="D33" s="11" t="n">
        <v>1000</v>
      </c>
      <c r="E33" s="11" t="n">
        <v>2500</v>
      </c>
      <c r="F33" s="5" t="s">
        <v>78</v>
      </c>
    </row>
    <row r="34" customFormat="false" ht="21.75" hidden="false" customHeight="true" outlineLevel="0" collapsed="false">
      <c r="A34" s="7" t="s">
        <v>79</v>
      </c>
      <c r="B34" s="12" t="n">
        <v>100</v>
      </c>
      <c r="C34" s="12" t="n">
        <v>500</v>
      </c>
      <c r="D34" s="12" t="n">
        <v>1500</v>
      </c>
      <c r="E34" s="12" t="n">
        <v>3000</v>
      </c>
      <c r="F34" s="7" t="s">
        <v>80</v>
      </c>
    </row>
    <row r="35" customFormat="false" ht="21.75" hidden="false" customHeight="true" outlineLevel="0" collapsed="false">
      <c r="A35" s="5" t="s">
        <v>81</v>
      </c>
      <c r="B35" s="11" t="n">
        <v>50</v>
      </c>
      <c r="C35" s="11" t="n">
        <v>300</v>
      </c>
      <c r="D35" s="11" t="n">
        <v>800</v>
      </c>
      <c r="E35" s="11" t="n">
        <v>2000</v>
      </c>
      <c r="F35" s="5" t="s">
        <v>82</v>
      </c>
    </row>
    <row r="36" customFormat="false" ht="21.75" hidden="false" customHeight="true" outlineLevel="0" collapsed="false">
      <c r="A36" s="7" t="s">
        <v>83</v>
      </c>
      <c r="B36" s="12" t="n">
        <v>5</v>
      </c>
      <c r="C36" s="12" t="n">
        <v>30</v>
      </c>
      <c r="D36" s="12" t="n">
        <v>100</v>
      </c>
      <c r="E36" s="12" t="n">
        <v>250</v>
      </c>
      <c r="F36" s="7" t="s">
        <v>84</v>
      </c>
    </row>
    <row r="37" customFormat="false" ht="21.75" hidden="false" customHeight="true" outlineLevel="0" collapsed="false">
      <c r="A37" s="5" t="s">
        <v>85</v>
      </c>
      <c r="B37" s="11" t="n">
        <v>1</v>
      </c>
      <c r="C37" s="11" t="n">
        <v>5</v>
      </c>
      <c r="D37" s="11" t="n">
        <v>15</v>
      </c>
      <c r="E37" s="11" t="n">
        <v>25</v>
      </c>
      <c r="F37" s="5" t="s">
        <v>86</v>
      </c>
    </row>
    <row r="38" customFormat="false" ht="21.75" hidden="false" customHeight="true" outlineLevel="0" collapsed="false">
      <c r="A38" s="7" t="s">
        <v>87</v>
      </c>
      <c r="B38" s="12" t="n">
        <v>0</v>
      </c>
      <c r="C38" s="12" t="n">
        <v>3</v>
      </c>
      <c r="D38" s="12" t="n">
        <v>8</v>
      </c>
      <c r="E38" s="12" t="n">
        <v>15</v>
      </c>
      <c r="F38" s="7" t="s">
        <v>88</v>
      </c>
    </row>
  </sheetData>
  <mergeCells count="12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A13:F13"/>
    <mergeCell ref="A20:F20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2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9" min="8" style="0" width="26"/>
  </cols>
  <sheetData>
    <row r="1" customFormat="false" ht="19.7" hidden="false" customHeight="fals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</row>
    <row r="2" customFormat="false" ht="48" hidden="false" customHeight="tru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6" t="s">
        <v>91</v>
      </c>
      <c r="B4" s="6" t="s">
        <v>92</v>
      </c>
      <c r="C4" s="6" t="s">
        <v>93</v>
      </c>
      <c r="D4" s="6" t="s">
        <v>94</v>
      </c>
      <c r="E4" s="6" t="s">
        <v>95</v>
      </c>
      <c r="F4" s="6" t="s">
        <v>96</v>
      </c>
      <c r="G4" s="6" t="s">
        <v>97</v>
      </c>
      <c r="H4" s="6" t="s">
        <v>98</v>
      </c>
      <c r="I4" s="6" t="s">
        <v>99</v>
      </c>
    </row>
    <row r="5" customFormat="false" ht="91.5" hidden="false" customHeight="true" outlineLevel="0" collapsed="false">
      <c r="A5" s="5" t="s">
        <v>100</v>
      </c>
      <c r="B5" s="5" t="s">
        <v>101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5" t="s">
        <v>107</v>
      </c>
      <c r="I5" s="5" t="s">
        <v>108</v>
      </c>
    </row>
    <row r="6" customFormat="false" ht="91.5" hidden="false" customHeight="true" outlineLevel="0" collapsed="false">
      <c r="A6" s="7" t="s">
        <v>109</v>
      </c>
      <c r="B6" s="7" t="s">
        <v>110</v>
      </c>
      <c r="C6" s="7" t="s">
        <v>111</v>
      </c>
      <c r="D6" s="7" t="s">
        <v>112</v>
      </c>
      <c r="E6" s="7" t="s">
        <v>113</v>
      </c>
      <c r="F6" s="7" t="s">
        <v>114</v>
      </c>
      <c r="G6" s="7" t="s">
        <v>115</v>
      </c>
      <c r="H6" s="7" t="s">
        <v>116</v>
      </c>
      <c r="I6" s="7" t="s">
        <v>117</v>
      </c>
    </row>
    <row r="7" customFormat="false" ht="91.5" hidden="false" customHeight="true" outlineLevel="0" collapsed="false">
      <c r="A7" s="5" t="s">
        <v>118</v>
      </c>
      <c r="B7" s="5" t="s">
        <v>119</v>
      </c>
      <c r="C7" s="5" t="s">
        <v>120</v>
      </c>
      <c r="D7" s="5" t="s">
        <v>121</v>
      </c>
      <c r="E7" s="5" t="s">
        <v>122</v>
      </c>
      <c r="F7" s="5" t="s">
        <v>123</v>
      </c>
      <c r="G7" s="5" t="s">
        <v>124</v>
      </c>
      <c r="H7" s="5" t="s">
        <v>125</v>
      </c>
      <c r="I7" s="5" t="s">
        <v>126</v>
      </c>
    </row>
    <row r="8" customFormat="false" ht="91.5" hidden="false" customHeight="true" outlineLevel="0" collapsed="false">
      <c r="A8" s="7" t="s">
        <v>127</v>
      </c>
      <c r="B8" s="7" t="s">
        <v>128</v>
      </c>
      <c r="C8" s="7" t="s">
        <v>129</v>
      </c>
      <c r="D8" s="7" t="s">
        <v>130</v>
      </c>
      <c r="E8" s="7" t="s">
        <v>131</v>
      </c>
      <c r="F8" s="7" t="s">
        <v>132</v>
      </c>
      <c r="G8" s="7" t="s">
        <v>133</v>
      </c>
      <c r="H8" s="7" t="s">
        <v>134</v>
      </c>
      <c r="I8" s="7" t="s">
        <v>135</v>
      </c>
    </row>
    <row r="9" customFormat="false" ht="91.5" hidden="false" customHeight="true" outlineLevel="0" collapsed="false">
      <c r="A9" s="5" t="s">
        <v>136</v>
      </c>
      <c r="B9" s="5" t="s">
        <v>137</v>
      </c>
      <c r="C9" s="5" t="s">
        <v>138</v>
      </c>
      <c r="D9" s="5" t="s">
        <v>139</v>
      </c>
      <c r="E9" s="5" t="s">
        <v>140</v>
      </c>
      <c r="F9" s="5" t="s">
        <v>141</v>
      </c>
      <c r="G9" s="5" t="s">
        <v>142</v>
      </c>
      <c r="H9" s="5" t="s">
        <v>143</v>
      </c>
      <c r="I9" s="5" t="s">
        <v>144</v>
      </c>
    </row>
    <row r="10" customFormat="false" ht="91.5" hidden="false" customHeight="true" outlineLevel="0" collapsed="false">
      <c r="A10" s="7" t="s">
        <v>145</v>
      </c>
      <c r="B10" s="7" t="s">
        <v>146</v>
      </c>
      <c r="C10" s="7" t="s">
        <v>147</v>
      </c>
      <c r="D10" s="7" t="s">
        <v>148</v>
      </c>
      <c r="E10" s="7" t="s">
        <v>149</v>
      </c>
      <c r="F10" s="7" t="s">
        <v>150</v>
      </c>
      <c r="G10" s="7" t="s">
        <v>151</v>
      </c>
      <c r="H10" s="7" t="s">
        <v>152</v>
      </c>
      <c r="I10" s="7" t="s">
        <v>153</v>
      </c>
    </row>
    <row r="11" customFormat="false" ht="91.5" hidden="false" customHeight="true" outlineLevel="0" collapsed="false">
      <c r="A11" s="5" t="s">
        <v>154</v>
      </c>
      <c r="B11" s="5" t="s">
        <v>155</v>
      </c>
      <c r="C11" s="5" t="s">
        <v>156</v>
      </c>
      <c r="D11" s="5" t="s">
        <v>157</v>
      </c>
      <c r="E11" s="5" t="s">
        <v>158</v>
      </c>
      <c r="F11" s="5" t="s">
        <v>159</v>
      </c>
      <c r="G11" s="5" t="s">
        <v>160</v>
      </c>
      <c r="H11" s="5" t="s">
        <v>161</v>
      </c>
      <c r="I11" s="5" t="s">
        <v>162</v>
      </c>
    </row>
    <row r="12" customFormat="false" ht="91.5" hidden="false" customHeight="true" outlineLevel="0" collapsed="false">
      <c r="A12" s="7" t="s">
        <v>163</v>
      </c>
      <c r="B12" s="7" t="s">
        <v>164</v>
      </c>
      <c r="C12" s="7" t="s">
        <v>165</v>
      </c>
      <c r="D12" s="7" t="s">
        <v>166</v>
      </c>
      <c r="E12" s="7" t="s">
        <v>167</v>
      </c>
      <c r="F12" s="7" t="s">
        <v>168</v>
      </c>
      <c r="G12" s="7" t="s">
        <v>169</v>
      </c>
      <c r="H12" s="7" t="s">
        <v>170</v>
      </c>
      <c r="I12" s="7" t="s">
        <v>171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7" min="6" style="0" width="30"/>
    <col collapsed="false" customWidth="true" hidden="false" outlineLevel="0" max="8" min="8" style="0" width="32"/>
  </cols>
  <sheetData>
    <row r="1" customFormat="false" ht="19.7" hidden="false" customHeight="false" outlineLevel="0" collapsed="false">
      <c r="A1" s="1" t="s">
        <v>172</v>
      </c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6" t="s">
        <v>174</v>
      </c>
      <c r="B4" s="6" t="s">
        <v>175</v>
      </c>
      <c r="C4" s="6" t="s">
        <v>176</v>
      </c>
      <c r="D4" s="6" t="s">
        <v>177</v>
      </c>
      <c r="E4" s="6" t="s">
        <v>178</v>
      </c>
      <c r="F4" s="6" t="s">
        <v>179</v>
      </c>
      <c r="G4" s="6" t="s">
        <v>180</v>
      </c>
      <c r="H4" s="6" t="s">
        <v>181</v>
      </c>
    </row>
    <row r="5" customFormat="false" ht="69.75" hidden="false" customHeight="true" outlineLevel="0" collapsed="false">
      <c r="A5" s="5" t="s">
        <v>182</v>
      </c>
      <c r="B5" s="5" t="s">
        <v>183</v>
      </c>
      <c r="C5" s="8" t="s">
        <v>184</v>
      </c>
      <c r="D5" s="5" t="s">
        <v>185</v>
      </c>
      <c r="E5" s="5" t="s">
        <v>186</v>
      </c>
      <c r="F5" s="5" t="s">
        <v>187</v>
      </c>
      <c r="G5" s="5" t="s">
        <v>188</v>
      </c>
      <c r="H5" s="5" t="s">
        <v>189</v>
      </c>
    </row>
    <row r="6" customFormat="false" ht="69.75" hidden="false" customHeight="true" outlineLevel="0" collapsed="false">
      <c r="A6" s="7" t="s">
        <v>190</v>
      </c>
      <c r="B6" s="7" t="s">
        <v>191</v>
      </c>
      <c r="C6" s="7" t="s">
        <v>192</v>
      </c>
      <c r="D6" s="7" t="s">
        <v>193</v>
      </c>
      <c r="E6" s="7" t="s">
        <v>194</v>
      </c>
      <c r="F6" s="7" t="s">
        <v>195</v>
      </c>
      <c r="G6" s="7" t="s">
        <v>196</v>
      </c>
      <c r="H6" s="7" t="s">
        <v>197</v>
      </c>
    </row>
    <row r="7" customFormat="false" ht="69.75" hidden="false" customHeight="true" outlineLevel="0" collapsed="false">
      <c r="A7" s="5" t="s">
        <v>198</v>
      </c>
      <c r="B7" s="5" t="s">
        <v>199</v>
      </c>
      <c r="C7" s="8" t="s">
        <v>200</v>
      </c>
      <c r="D7" s="5" t="s">
        <v>201</v>
      </c>
      <c r="E7" s="5" t="s">
        <v>202</v>
      </c>
      <c r="F7" s="5" t="s">
        <v>203</v>
      </c>
      <c r="G7" s="5" t="s">
        <v>204</v>
      </c>
      <c r="H7" s="5" t="s">
        <v>205</v>
      </c>
    </row>
    <row r="8" customFormat="false" ht="69.75" hidden="false" customHeight="true" outlineLevel="0" collapsed="false">
      <c r="A8" s="7" t="s">
        <v>206</v>
      </c>
      <c r="B8" s="7" t="s">
        <v>207</v>
      </c>
      <c r="C8" s="7" t="s">
        <v>208</v>
      </c>
      <c r="D8" s="7" t="s">
        <v>209</v>
      </c>
      <c r="E8" s="7" t="s">
        <v>210</v>
      </c>
      <c r="F8" s="7" t="s">
        <v>211</v>
      </c>
      <c r="G8" s="7" t="s">
        <v>212</v>
      </c>
      <c r="H8" s="7" t="s">
        <v>213</v>
      </c>
    </row>
    <row r="9" customFormat="false" ht="69.75" hidden="false" customHeight="true" outlineLevel="0" collapsed="false">
      <c r="A9" s="5" t="s">
        <v>214</v>
      </c>
      <c r="B9" s="5" t="s">
        <v>215</v>
      </c>
      <c r="C9" s="8" t="s">
        <v>216</v>
      </c>
      <c r="D9" s="5" t="s">
        <v>217</v>
      </c>
      <c r="E9" s="5" t="s">
        <v>218</v>
      </c>
      <c r="F9" s="5" t="s">
        <v>219</v>
      </c>
      <c r="G9" s="5" t="s">
        <v>220</v>
      </c>
      <c r="H9" s="5" t="s">
        <v>221</v>
      </c>
    </row>
    <row r="10" customFormat="false" ht="69.75" hidden="false" customHeight="true" outlineLevel="0" collapsed="false">
      <c r="A10" s="7" t="s">
        <v>222</v>
      </c>
      <c r="B10" s="7" t="s">
        <v>223</v>
      </c>
      <c r="C10" s="7" t="s">
        <v>224</v>
      </c>
      <c r="D10" s="7" t="s">
        <v>225</v>
      </c>
      <c r="E10" s="7" t="s">
        <v>226</v>
      </c>
      <c r="F10" s="7" t="s">
        <v>227</v>
      </c>
      <c r="G10" s="7" t="s">
        <v>228</v>
      </c>
      <c r="H10" s="7" t="s">
        <v>229</v>
      </c>
    </row>
    <row r="11" customFormat="false" ht="69.75" hidden="false" customHeight="true" outlineLevel="0" collapsed="false">
      <c r="A11" s="5" t="s">
        <v>230</v>
      </c>
      <c r="B11" s="5" t="s">
        <v>231</v>
      </c>
      <c r="C11" s="8" t="s">
        <v>232</v>
      </c>
      <c r="D11" s="5" t="s">
        <v>233</v>
      </c>
      <c r="E11" s="5" t="s">
        <v>234</v>
      </c>
      <c r="F11" s="5" t="s">
        <v>235</v>
      </c>
      <c r="G11" s="5" t="s">
        <v>236</v>
      </c>
      <c r="H11" s="5" t="s">
        <v>237</v>
      </c>
    </row>
    <row r="12" customFormat="false" ht="69.75" hidden="false" customHeight="true" outlineLevel="0" collapsed="false">
      <c r="A12" s="7" t="s">
        <v>238</v>
      </c>
      <c r="B12" s="7" t="s">
        <v>239</v>
      </c>
      <c r="C12" s="7" t="s">
        <v>240</v>
      </c>
      <c r="D12" s="7" t="s">
        <v>241</v>
      </c>
      <c r="E12" s="7" t="s">
        <v>242</v>
      </c>
      <c r="F12" s="7" t="s">
        <v>243</v>
      </c>
      <c r="G12" s="7" t="s">
        <v>244</v>
      </c>
      <c r="H12" s="7" t="s">
        <v>245</v>
      </c>
    </row>
    <row r="13" customFormat="false" ht="69.75" hidden="false" customHeight="true" outlineLevel="0" collapsed="false">
      <c r="A13" s="5" t="s">
        <v>246</v>
      </c>
      <c r="B13" s="5" t="s">
        <v>247</v>
      </c>
      <c r="C13" s="8" t="s">
        <v>248</v>
      </c>
      <c r="D13" s="5" t="s">
        <v>249</v>
      </c>
      <c r="E13" s="5" t="s">
        <v>250</v>
      </c>
      <c r="F13" s="5" t="s">
        <v>251</v>
      </c>
      <c r="G13" s="5" t="s">
        <v>252</v>
      </c>
      <c r="H13" s="5" t="s">
        <v>253</v>
      </c>
    </row>
    <row r="14" customFormat="false" ht="69.75" hidden="false" customHeight="true" outlineLevel="0" collapsed="false">
      <c r="A14" s="7" t="s">
        <v>254</v>
      </c>
      <c r="B14" s="7" t="s">
        <v>255</v>
      </c>
      <c r="C14" s="7" t="s">
        <v>256</v>
      </c>
      <c r="D14" s="7" t="s">
        <v>257</v>
      </c>
      <c r="E14" s="7" t="s">
        <v>258</v>
      </c>
      <c r="F14" s="7" t="s">
        <v>259</v>
      </c>
      <c r="G14" s="7" t="s">
        <v>260</v>
      </c>
      <c r="H14" s="7" t="s">
        <v>261</v>
      </c>
    </row>
    <row r="15" customFormat="false" ht="69.75" hidden="false" customHeight="true" outlineLevel="0" collapsed="false">
      <c r="A15" s="5" t="s">
        <v>262</v>
      </c>
      <c r="B15" s="5" t="s">
        <v>263</v>
      </c>
      <c r="C15" s="8" t="s">
        <v>264</v>
      </c>
      <c r="D15" s="5" t="s">
        <v>265</v>
      </c>
      <c r="E15" s="5" t="s">
        <v>266</v>
      </c>
      <c r="F15" s="5" t="s">
        <v>267</v>
      </c>
      <c r="G15" s="5" t="s">
        <v>268</v>
      </c>
      <c r="H15" s="5" t="s">
        <v>269</v>
      </c>
    </row>
    <row r="16" customFormat="false" ht="69.75" hidden="false" customHeight="true" outlineLevel="0" collapsed="false">
      <c r="A16" s="7" t="s">
        <v>270</v>
      </c>
      <c r="B16" s="7" t="s">
        <v>271</v>
      </c>
      <c r="C16" s="7" t="s">
        <v>272</v>
      </c>
      <c r="D16" s="7" t="s">
        <v>273</v>
      </c>
      <c r="E16" s="7" t="s">
        <v>274</v>
      </c>
      <c r="F16" s="7" t="s">
        <v>275</v>
      </c>
      <c r="G16" s="7" t="s">
        <v>276</v>
      </c>
      <c r="H16" s="7" t="s">
        <v>277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44"/>
    <col collapsed="false" customWidth="true" hidden="false" outlineLevel="0" max="5" min="5" style="0" width="54"/>
    <col collapsed="false" customWidth="true" hidden="false" outlineLevel="0" max="6" min="6" style="0" width="32"/>
  </cols>
  <sheetData>
    <row r="1" customFormat="false" ht="19.7" hidden="false" customHeight="false" outlineLevel="0" collapsed="false">
      <c r="A1" s="1" t="s">
        <v>278</v>
      </c>
      <c r="B1" s="1"/>
      <c r="C1" s="1"/>
      <c r="D1" s="1"/>
      <c r="E1" s="1"/>
      <c r="F1" s="1"/>
    </row>
    <row r="2" customFormat="false" ht="48" hidden="false" customHeight="true" outlineLevel="0" collapsed="false">
      <c r="A2" s="2" t="s">
        <v>279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280</v>
      </c>
      <c r="B4" s="6" t="s">
        <v>91</v>
      </c>
      <c r="C4" s="6" t="s">
        <v>281</v>
      </c>
      <c r="D4" s="6" t="s">
        <v>282</v>
      </c>
      <c r="E4" s="6" t="s">
        <v>283</v>
      </c>
      <c r="F4" s="6" t="s">
        <v>97</v>
      </c>
    </row>
    <row r="5" customFormat="false" ht="63.75" hidden="false" customHeight="true" outlineLevel="0" collapsed="false">
      <c r="A5" s="5" t="n">
        <v>1</v>
      </c>
      <c r="B5" s="5" t="s">
        <v>284</v>
      </c>
      <c r="C5" s="8" t="s">
        <v>285</v>
      </c>
      <c r="D5" s="5" t="s">
        <v>286</v>
      </c>
      <c r="E5" s="5" t="s">
        <v>287</v>
      </c>
      <c r="F5" s="5" t="s">
        <v>288</v>
      </c>
    </row>
    <row r="6" customFormat="false" ht="63.75" hidden="false" customHeight="true" outlineLevel="0" collapsed="false">
      <c r="A6" s="7" t="n">
        <v>2</v>
      </c>
      <c r="B6" s="7" t="s">
        <v>284</v>
      </c>
      <c r="C6" s="7" t="s">
        <v>289</v>
      </c>
      <c r="D6" s="7" t="s">
        <v>290</v>
      </c>
      <c r="E6" s="7" t="s">
        <v>291</v>
      </c>
      <c r="F6" s="7" t="s">
        <v>292</v>
      </c>
    </row>
    <row r="7" customFormat="false" ht="63.75" hidden="false" customHeight="true" outlineLevel="0" collapsed="false">
      <c r="A7" s="5" t="n">
        <v>3</v>
      </c>
      <c r="B7" s="5" t="s">
        <v>284</v>
      </c>
      <c r="C7" s="8" t="s">
        <v>293</v>
      </c>
      <c r="D7" s="5" t="s">
        <v>294</v>
      </c>
      <c r="E7" s="5" t="s">
        <v>295</v>
      </c>
      <c r="F7" s="5" t="s">
        <v>296</v>
      </c>
    </row>
    <row r="8" customFormat="false" ht="63.75" hidden="false" customHeight="true" outlineLevel="0" collapsed="false">
      <c r="A8" s="7" t="n">
        <v>4</v>
      </c>
      <c r="B8" s="7" t="s">
        <v>297</v>
      </c>
      <c r="C8" s="7" t="s">
        <v>285</v>
      </c>
      <c r="D8" s="7" t="s">
        <v>298</v>
      </c>
      <c r="E8" s="7" t="s">
        <v>299</v>
      </c>
      <c r="F8" s="7" t="s">
        <v>300</v>
      </c>
    </row>
    <row r="9" customFormat="false" ht="63.75" hidden="false" customHeight="true" outlineLevel="0" collapsed="false">
      <c r="A9" s="5" t="n">
        <v>5</v>
      </c>
      <c r="B9" s="5" t="s">
        <v>297</v>
      </c>
      <c r="C9" s="8" t="s">
        <v>289</v>
      </c>
      <c r="D9" s="5" t="s">
        <v>301</v>
      </c>
      <c r="E9" s="5" t="s">
        <v>302</v>
      </c>
      <c r="F9" s="5" t="s">
        <v>303</v>
      </c>
    </row>
    <row r="10" customFormat="false" ht="63.75" hidden="false" customHeight="true" outlineLevel="0" collapsed="false">
      <c r="A10" s="7" t="n">
        <v>6</v>
      </c>
      <c r="B10" s="7" t="s">
        <v>297</v>
      </c>
      <c r="C10" s="7" t="s">
        <v>293</v>
      </c>
      <c r="D10" s="7" t="s">
        <v>304</v>
      </c>
      <c r="E10" s="7" t="s">
        <v>305</v>
      </c>
      <c r="F10" s="7" t="s">
        <v>306</v>
      </c>
    </row>
    <row r="11" customFormat="false" ht="63.75" hidden="false" customHeight="true" outlineLevel="0" collapsed="false">
      <c r="A11" s="5" t="n">
        <v>7</v>
      </c>
      <c r="B11" s="5" t="s">
        <v>127</v>
      </c>
      <c r="C11" s="8" t="s">
        <v>285</v>
      </c>
      <c r="D11" s="5" t="s">
        <v>307</v>
      </c>
      <c r="E11" s="5" t="s">
        <v>308</v>
      </c>
      <c r="F11" s="5" t="s">
        <v>309</v>
      </c>
    </row>
    <row r="12" customFormat="false" ht="63.75" hidden="false" customHeight="true" outlineLevel="0" collapsed="false">
      <c r="A12" s="7" t="n">
        <v>8</v>
      </c>
      <c r="B12" s="7" t="s">
        <v>127</v>
      </c>
      <c r="C12" s="7" t="s">
        <v>289</v>
      </c>
      <c r="D12" s="7" t="s">
        <v>310</v>
      </c>
      <c r="E12" s="7" t="s">
        <v>311</v>
      </c>
      <c r="F12" s="7" t="s">
        <v>312</v>
      </c>
    </row>
    <row r="13" customFormat="false" ht="63.75" hidden="false" customHeight="true" outlineLevel="0" collapsed="false">
      <c r="A13" s="5" t="n">
        <v>9</v>
      </c>
      <c r="B13" s="5" t="s">
        <v>127</v>
      </c>
      <c r="C13" s="8" t="s">
        <v>293</v>
      </c>
      <c r="D13" s="5" t="s">
        <v>313</v>
      </c>
      <c r="E13" s="5" t="s">
        <v>314</v>
      </c>
      <c r="F13" s="5" t="s">
        <v>315</v>
      </c>
    </row>
    <row r="14" customFormat="false" ht="63.75" hidden="false" customHeight="true" outlineLevel="0" collapsed="false">
      <c r="A14" s="7" t="n">
        <v>10</v>
      </c>
      <c r="B14" s="7" t="s">
        <v>136</v>
      </c>
      <c r="C14" s="7" t="s">
        <v>285</v>
      </c>
      <c r="D14" s="7" t="s">
        <v>316</v>
      </c>
      <c r="E14" s="7" t="s">
        <v>317</v>
      </c>
      <c r="F14" s="7" t="s">
        <v>318</v>
      </c>
    </row>
    <row r="15" customFormat="false" ht="63.75" hidden="false" customHeight="true" outlineLevel="0" collapsed="false">
      <c r="A15" s="5" t="n">
        <v>11</v>
      </c>
      <c r="B15" s="5" t="s">
        <v>136</v>
      </c>
      <c r="C15" s="8" t="s">
        <v>289</v>
      </c>
      <c r="D15" s="5" t="s">
        <v>319</v>
      </c>
      <c r="E15" s="5" t="s">
        <v>320</v>
      </c>
      <c r="F15" s="5" t="s">
        <v>321</v>
      </c>
    </row>
    <row r="16" customFormat="false" ht="63.75" hidden="false" customHeight="true" outlineLevel="0" collapsed="false">
      <c r="A16" s="7" t="n">
        <v>12</v>
      </c>
      <c r="B16" s="7" t="s">
        <v>136</v>
      </c>
      <c r="C16" s="7" t="s">
        <v>293</v>
      </c>
      <c r="D16" s="7" t="s">
        <v>322</v>
      </c>
      <c r="E16" s="7" t="s">
        <v>323</v>
      </c>
      <c r="F16" s="7" t="s">
        <v>324</v>
      </c>
    </row>
    <row r="17" customFormat="false" ht="63.75" hidden="false" customHeight="true" outlineLevel="0" collapsed="false">
      <c r="A17" s="5" t="n">
        <v>13</v>
      </c>
      <c r="B17" s="5" t="s">
        <v>325</v>
      </c>
      <c r="C17" s="8" t="s">
        <v>285</v>
      </c>
      <c r="D17" s="5" t="s">
        <v>326</v>
      </c>
      <c r="E17" s="5" t="s">
        <v>327</v>
      </c>
      <c r="F17" s="5" t="s">
        <v>328</v>
      </c>
    </row>
    <row r="18" customFormat="false" ht="63.75" hidden="false" customHeight="true" outlineLevel="0" collapsed="false">
      <c r="A18" s="7" t="n">
        <v>14</v>
      </c>
      <c r="B18" s="7" t="s">
        <v>325</v>
      </c>
      <c r="C18" s="7" t="s">
        <v>289</v>
      </c>
      <c r="D18" s="7" t="s">
        <v>329</v>
      </c>
      <c r="E18" s="7" t="s">
        <v>330</v>
      </c>
      <c r="F18" s="7" t="s">
        <v>331</v>
      </c>
    </row>
    <row r="19" customFormat="false" ht="63.75" hidden="false" customHeight="true" outlineLevel="0" collapsed="false">
      <c r="A19" s="5" t="n">
        <v>15</v>
      </c>
      <c r="B19" s="5" t="s">
        <v>325</v>
      </c>
      <c r="C19" s="8" t="s">
        <v>293</v>
      </c>
      <c r="D19" s="5" t="s">
        <v>332</v>
      </c>
      <c r="E19" s="5" t="s">
        <v>333</v>
      </c>
      <c r="F19" s="5" t="s">
        <v>334</v>
      </c>
    </row>
    <row r="20" customFormat="false" ht="63.75" hidden="false" customHeight="true" outlineLevel="0" collapsed="false">
      <c r="A20" s="7" t="n">
        <v>16</v>
      </c>
      <c r="B20" s="7" t="s">
        <v>335</v>
      </c>
      <c r="C20" s="7" t="s">
        <v>285</v>
      </c>
      <c r="D20" s="7" t="s">
        <v>336</v>
      </c>
      <c r="E20" s="7" t="s">
        <v>337</v>
      </c>
      <c r="F20" s="7" t="s">
        <v>338</v>
      </c>
    </row>
    <row r="21" customFormat="false" ht="63.75" hidden="false" customHeight="true" outlineLevel="0" collapsed="false">
      <c r="A21" s="5" t="n">
        <v>17</v>
      </c>
      <c r="B21" s="5" t="s">
        <v>335</v>
      </c>
      <c r="C21" s="8" t="s">
        <v>289</v>
      </c>
      <c r="D21" s="5" t="s">
        <v>339</v>
      </c>
      <c r="E21" s="5" t="s">
        <v>340</v>
      </c>
      <c r="F21" s="5" t="s">
        <v>341</v>
      </c>
    </row>
    <row r="22" customFormat="false" ht="63.75" hidden="false" customHeight="true" outlineLevel="0" collapsed="false">
      <c r="A22" s="7" t="n">
        <v>18</v>
      </c>
      <c r="B22" s="7" t="s">
        <v>335</v>
      </c>
      <c r="C22" s="7" t="s">
        <v>293</v>
      </c>
      <c r="D22" s="7" t="s">
        <v>342</v>
      </c>
      <c r="E22" s="7" t="s">
        <v>343</v>
      </c>
      <c r="F22" s="7" t="s">
        <v>344</v>
      </c>
    </row>
    <row r="23" customFormat="false" ht="63.75" hidden="false" customHeight="true" outlineLevel="0" collapsed="false">
      <c r="A23" s="5" t="n">
        <v>19</v>
      </c>
      <c r="B23" s="5" t="s">
        <v>284</v>
      </c>
      <c r="C23" s="8" t="s">
        <v>285</v>
      </c>
      <c r="D23" s="5" t="s">
        <v>345</v>
      </c>
      <c r="E23" s="5" t="s">
        <v>346</v>
      </c>
      <c r="F23" s="5" t="s">
        <v>347</v>
      </c>
    </row>
    <row r="24" customFormat="false" ht="63.75" hidden="false" customHeight="true" outlineLevel="0" collapsed="false">
      <c r="A24" s="7" t="n">
        <v>20</v>
      </c>
      <c r="B24" s="7" t="s">
        <v>284</v>
      </c>
      <c r="C24" s="7" t="s">
        <v>289</v>
      </c>
      <c r="D24" s="7" t="s">
        <v>348</v>
      </c>
      <c r="E24" s="7" t="s">
        <v>349</v>
      </c>
      <c r="F24" s="7" t="s">
        <v>350</v>
      </c>
    </row>
    <row r="25" customFormat="false" ht="63.75" hidden="false" customHeight="true" outlineLevel="0" collapsed="false">
      <c r="A25" s="5" t="n">
        <v>21</v>
      </c>
      <c r="B25" s="5" t="s">
        <v>297</v>
      </c>
      <c r="C25" s="8" t="s">
        <v>285</v>
      </c>
      <c r="D25" s="5" t="s">
        <v>351</v>
      </c>
      <c r="E25" s="5" t="s">
        <v>352</v>
      </c>
      <c r="F25" s="5" t="s">
        <v>353</v>
      </c>
    </row>
    <row r="26" customFormat="false" ht="63.75" hidden="false" customHeight="true" outlineLevel="0" collapsed="false">
      <c r="A26" s="7" t="n">
        <v>22</v>
      </c>
      <c r="B26" s="7" t="s">
        <v>297</v>
      </c>
      <c r="C26" s="7" t="s">
        <v>289</v>
      </c>
      <c r="D26" s="7" t="s">
        <v>354</v>
      </c>
      <c r="E26" s="7" t="s">
        <v>355</v>
      </c>
      <c r="F26" s="7" t="s">
        <v>356</v>
      </c>
    </row>
    <row r="27" customFormat="false" ht="63.75" hidden="false" customHeight="true" outlineLevel="0" collapsed="false">
      <c r="A27" s="5" t="n">
        <v>23</v>
      </c>
      <c r="B27" s="5" t="s">
        <v>127</v>
      </c>
      <c r="C27" s="8" t="s">
        <v>285</v>
      </c>
      <c r="D27" s="5" t="s">
        <v>357</v>
      </c>
      <c r="E27" s="5" t="s">
        <v>358</v>
      </c>
      <c r="F27" s="5" t="s">
        <v>359</v>
      </c>
    </row>
    <row r="28" customFormat="false" ht="63.75" hidden="false" customHeight="true" outlineLevel="0" collapsed="false">
      <c r="A28" s="7" t="n">
        <v>24</v>
      </c>
      <c r="B28" s="7" t="s">
        <v>127</v>
      </c>
      <c r="C28" s="7" t="s">
        <v>289</v>
      </c>
      <c r="D28" s="7" t="s">
        <v>360</v>
      </c>
      <c r="E28" s="7" t="s">
        <v>361</v>
      </c>
      <c r="F28" s="7" t="s">
        <v>362</v>
      </c>
    </row>
    <row r="29" customFormat="false" ht="63.75" hidden="false" customHeight="true" outlineLevel="0" collapsed="false">
      <c r="A29" s="5" t="n">
        <v>25</v>
      </c>
      <c r="B29" s="5" t="s">
        <v>136</v>
      </c>
      <c r="C29" s="8" t="s">
        <v>285</v>
      </c>
      <c r="D29" s="5" t="s">
        <v>363</v>
      </c>
      <c r="E29" s="5" t="s">
        <v>364</v>
      </c>
      <c r="F29" s="5" t="s">
        <v>365</v>
      </c>
    </row>
    <row r="30" customFormat="false" ht="63.75" hidden="false" customHeight="true" outlineLevel="0" collapsed="false">
      <c r="A30" s="7" t="n">
        <v>26</v>
      </c>
      <c r="B30" s="7" t="s">
        <v>136</v>
      </c>
      <c r="C30" s="7" t="s">
        <v>289</v>
      </c>
      <c r="D30" s="7" t="s">
        <v>366</v>
      </c>
      <c r="E30" s="7" t="s">
        <v>367</v>
      </c>
      <c r="F30" s="7" t="s">
        <v>368</v>
      </c>
    </row>
    <row r="31" customFormat="false" ht="63.75" hidden="false" customHeight="true" outlineLevel="0" collapsed="false">
      <c r="A31" s="5" t="n">
        <v>27</v>
      </c>
      <c r="B31" s="5" t="s">
        <v>284</v>
      </c>
      <c r="C31" s="8" t="s">
        <v>285</v>
      </c>
      <c r="D31" s="5" t="s">
        <v>369</v>
      </c>
      <c r="E31" s="5" t="s">
        <v>370</v>
      </c>
      <c r="F31" s="5" t="s">
        <v>371</v>
      </c>
    </row>
    <row r="32" customFormat="false" ht="63.75" hidden="false" customHeight="true" outlineLevel="0" collapsed="false">
      <c r="A32" s="7" t="n">
        <v>28</v>
      </c>
      <c r="B32" s="7" t="s">
        <v>335</v>
      </c>
      <c r="C32" s="7" t="s">
        <v>285</v>
      </c>
      <c r="D32" s="7" t="s">
        <v>372</v>
      </c>
      <c r="E32" s="7" t="s">
        <v>373</v>
      </c>
      <c r="F32" s="7" t="s">
        <v>374</v>
      </c>
    </row>
    <row r="33" customFormat="false" ht="63.75" hidden="false" customHeight="true" outlineLevel="0" collapsed="false">
      <c r="A33" s="5" t="n">
        <v>29</v>
      </c>
      <c r="B33" s="5" t="s">
        <v>297</v>
      </c>
      <c r="C33" s="8" t="s">
        <v>285</v>
      </c>
      <c r="D33" s="5" t="s">
        <v>375</v>
      </c>
      <c r="E33" s="5" t="s">
        <v>376</v>
      </c>
      <c r="F33" s="5" t="s">
        <v>377</v>
      </c>
    </row>
    <row r="34" customFormat="false" ht="63.75" hidden="false" customHeight="true" outlineLevel="0" collapsed="false">
      <c r="A34" s="7" t="n">
        <v>30</v>
      </c>
      <c r="B34" s="7" t="s">
        <v>284</v>
      </c>
      <c r="C34" s="7" t="s">
        <v>293</v>
      </c>
      <c r="D34" s="7" t="s">
        <v>378</v>
      </c>
      <c r="E34" s="7" t="s">
        <v>379</v>
      </c>
      <c r="F34" s="7" t="s">
        <v>380</v>
      </c>
    </row>
    <row r="35" customFormat="false" ht="63.75" hidden="false" customHeight="true" outlineLevel="0" collapsed="false">
      <c r="A35" s="5" t="n">
        <v>31</v>
      </c>
      <c r="B35" s="5" t="s">
        <v>127</v>
      </c>
      <c r="C35" s="8" t="s">
        <v>293</v>
      </c>
      <c r="D35" s="5" t="s">
        <v>381</v>
      </c>
      <c r="E35" s="5" t="s">
        <v>382</v>
      </c>
      <c r="F35" s="5" t="s">
        <v>383</v>
      </c>
    </row>
    <row r="36" customFormat="false" ht="63.75" hidden="false" customHeight="true" outlineLevel="0" collapsed="false">
      <c r="A36" s="7" t="n">
        <v>32</v>
      </c>
      <c r="B36" s="7" t="s">
        <v>325</v>
      </c>
      <c r="C36" s="7" t="s">
        <v>289</v>
      </c>
      <c r="D36" s="7" t="s">
        <v>384</v>
      </c>
      <c r="E36" s="7" t="s">
        <v>385</v>
      </c>
      <c r="F36" s="7" t="s">
        <v>386</v>
      </c>
    </row>
    <row r="37" customFormat="false" ht="63.75" hidden="false" customHeight="true" outlineLevel="0" collapsed="false">
      <c r="A37" s="5" t="n">
        <v>33</v>
      </c>
      <c r="B37" s="5" t="s">
        <v>127</v>
      </c>
      <c r="C37" s="8" t="s">
        <v>289</v>
      </c>
      <c r="D37" s="5" t="s">
        <v>387</v>
      </c>
      <c r="E37" s="5" t="s">
        <v>388</v>
      </c>
      <c r="F37" s="5" t="s">
        <v>389</v>
      </c>
    </row>
    <row r="38" customFormat="false" ht="63.75" hidden="false" customHeight="true" outlineLevel="0" collapsed="false">
      <c r="A38" s="7" t="n">
        <v>34</v>
      </c>
      <c r="B38" s="7" t="s">
        <v>136</v>
      </c>
      <c r="C38" s="7" t="s">
        <v>289</v>
      </c>
      <c r="D38" s="7" t="s">
        <v>390</v>
      </c>
      <c r="E38" s="7" t="s">
        <v>391</v>
      </c>
      <c r="F38" s="7" t="s">
        <v>392</v>
      </c>
    </row>
    <row r="39" customFormat="false" ht="63.75" hidden="false" customHeight="true" outlineLevel="0" collapsed="false">
      <c r="A39" s="5" t="n">
        <v>35</v>
      </c>
      <c r="B39" s="5" t="s">
        <v>335</v>
      </c>
      <c r="C39" s="8" t="s">
        <v>293</v>
      </c>
      <c r="D39" s="5" t="s">
        <v>393</v>
      </c>
      <c r="E39" s="5" t="s">
        <v>394</v>
      </c>
      <c r="F39" s="5" t="s">
        <v>395</v>
      </c>
    </row>
    <row r="40" customFormat="false" ht="63.75" hidden="false" customHeight="true" outlineLevel="0" collapsed="false">
      <c r="A40" s="7" t="n">
        <v>36</v>
      </c>
      <c r="B40" s="7" t="s">
        <v>284</v>
      </c>
      <c r="C40" s="7" t="s">
        <v>289</v>
      </c>
      <c r="D40" s="7" t="s">
        <v>396</v>
      </c>
      <c r="E40" s="7" t="s">
        <v>397</v>
      </c>
      <c r="F40" s="7" t="s">
        <v>398</v>
      </c>
    </row>
    <row r="41" customFormat="false" ht="63.75" hidden="false" customHeight="true" outlineLevel="0" collapsed="false">
      <c r="A41" s="5" t="n">
        <v>37</v>
      </c>
      <c r="B41" s="5" t="s">
        <v>297</v>
      </c>
      <c r="C41" s="8" t="s">
        <v>289</v>
      </c>
      <c r="D41" s="5" t="s">
        <v>399</v>
      </c>
      <c r="E41" s="5" t="s">
        <v>400</v>
      </c>
      <c r="F41" s="5" t="s">
        <v>401</v>
      </c>
    </row>
    <row r="42" customFormat="false" ht="63.75" hidden="false" customHeight="true" outlineLevel="0" collapsed="false">
      <c r="A42" s="7" t="n">
        <v>38</v>
      </c>
      <c r="B42" s="7" t="s">
        <v>136</v>
      </c>
      <c r="C42" s="7" t="s">
        <v>293</v>
      </c>
      <c r="D42" s="7" t="s">
        <v>402</v>
      </c>
      <c r="E42" s="7" t="s">
        <v>403</v>
      </c>
      <c r="F42" s="7" t="s">
        <v>404</v>
      </c>
    </row>
    <row r="43" customFormat="false" ht="63.75" hidden="false" customHeight="true" outlineLevel="0" collapsed="false">
      <c r="A43" s="5" t="n">
        <v>39</v>
      </c>
      <c r="B43" s="5" t="s">
        <v>127</v>
      </c>
      <c r="C43" s="8" t="s">
        <v>293</v>
      </c>
      <c r="D43" s="5" t="s">
        <v>405</v>
      </c>
      <c r="E43" s="5" t="s">
        <v>406</v>
      </c>
      <c r="F43" s="5" t="s">
        <v>407</v>
      </c>
    </row>
    <row r="44" customFormat="false" ht="63.75" hidden="false" customHeight="true" outlineLevel="0" collapsed="false">
      <c r="A44" s="7" t="n">
        <v>40</v>
      </c>
      <c r="B44" s="7" t="s">
        <v>325</v>
      </c>
      <c r="C44" s="7" t="s">
        <v>293</v>
      </c>
      <c r="D44" s="7" t="s">
        <v>408</v>
      </c>
      <c r="E44" s="7" t="s">
        <v>409</v>
      </c>
      <c r="F44" s="7" t="s">
        <v>410</v>
      </c>
    </row>
    <row r="45" customFormat="false" ht="63.75" hidden="false" customHeight="true" outlineLevel="0" collapsed="false">
      <c r="A45" s="5" t="n">
        <v>41</v>
      </c>
      <c r="B45" s="5" t="s">
        <v>284</v>
      </c>
      <c r="C45" s="8" t="s">
        <v>285</v>
      </c>
      <c r="D45" s="5" t="s">
        <v>411</v>
      </c>
      <c r="E45" s="5" t="s">
        <v>412</v>
      </c>
      <c r="F45" s="5" t="s">
        <v>413</v>
      </c>
    </row>
    <row r="46" customFormat="false" ht="63.75" hidden="false" customHeight="true" outlineLevel="0" collapsed="false">
      <c r="A46" s="7" t="n">
        <v>42</v>
      </c>
      <c r="B46" s="7" t="s">
        <v>297</v>
      </c>
      <c r="C46" s="7" t="s">
        <v>285</v>
      </c>
      <c r="D46" s="7" t="s">
        <v>414</v>
      </c>
      <c r="E46" s="7" t="s">
        <v>415</v>
      </c>
      <c r="F46" s="7" t="s">
        <v>416</v>
      </c>
    </row>
    <row r="47" customFormat="false" ht="63.75" hidden="false" customHeight="true" outlineLevel="0" collapsed="false">
      <c r="A47" s="5" t="n">
        <v>43</v>
      </c>
      <c r="B47" s="5" t="s">
        <v>127</v>
      </c>
      <c r="C47" s="8" t="s">
        <v>285</v>
      </c>
      <c r="D47" s="5" t="s">
        <v>417</v>
      </c>
      <c r="E47" s="5" t="s">
        <v>418</v>
      </c>
      <c r="F47" s="5" t="s">
        <v>419</v>
      </c>
    </row>
    <row r="48" customFormat="false" ht="63.75" hidden="false" customHeight="true" outlineLevel="0" collapsed="false">
      <c r="A48" s="7" t="n">
        <v>44</v>
      </c>
      <c r="B48" s="7" t="s">
        <v>136</v>
      </c>
      <c r="C48" s="7" t="s">
        <v>289</v>
      </c>
      <c r="D48" s="7" t="s">
        <v>420</v>
      </c>
      <c r="E48" s="7" t="s">
        <v>421</v>
      </c>
      <c r="F48" s="7" t="s">
        <v>422</v>
      </c>
    </row>
    <row r="49" customFormat="false" ht="63.75" hidden="false" customHeight="true" outlineLevel="0" collapsed="false">
      <c r="A49" s="5" t="n">
        <v>45</v>
      </c>
      <c r="B49" s="5" t="s">
        <v>335</v>
      </c>
      <c r="C49" s="8" t="s">
        <v>289</v>
      </c>
      <c r="D49" s="5" t="s">
        <v>423</v>
      </c>
      <c r="E49" s="5" t="s">
        <v>424</v>
      </c>
      <c r="F49" s="5" t="s">
        <v>425</v>
      </c>
    </row>
    <row r="50" customFormat="false" ht="63.75" hidden="false" customHeight="true" outlineLevel="0" collapsed="false">
      <c r="A50" s="7" t="n">
        <v>46</v>
      </c>
      <c r="B50" s="7" t="s">
        <v>284</v>
      </c>
      <c r="C50" s="7" t="s">
        <v>293</v>
      </c>
      <c r="D50" s="7" t="s">
        <v>426</v>
      </c>
      <c r="E50" s="7" t="s">
        <v>427</v>
      </c>
      <c r="F50" s="7" t="s">
        <v>428</v>
      </c>
    </row>
    <row r="51" customFormat="false" ht="63.75" hidden="false" customHeight="true" outlineLevel="0" collapsed="false">
      <c r="A51" s="5" t="n">
        <v>47</v>
      </c>
      <c r="B51" s="5" t="s">
        <v>325</v>
      </c>
      <c r="C51" s="8" t="s">
        <v>285</v>
      </c>
      <c r="D51" s="5" t="s">
        <v>429</v>
      </c>
      <c r="E51" s="5" t="s">
        <v>430</v>
      </c>
      <c r="F51" s="5" t="s">
        <v>431</v>
      </c>
    </row>
    <row r="52" customFormat="false" ht="63.75" hidden="false" customHeight="true" outlineLevel="0" collapsed="false">
      <c r="A52" s="7" t="n">
        <v>48</v>
      </c>
      <c r="B52" s="7" t="s">
        <v>127</v>
      </c>
      <c r="C52" s="7" t="s">
        <v>289</v>
      </c>
      <c r="D52" s="7" t="s">
        <v>432</v>
      </c>
      <c r="E52" s="7" t="s">
        <v>433</v>
      </c>
      <c r="F52" s="7" t="s">
        <v>312</v>
      </c>
    </row>
    <row r="53" customFormat="false" ht="63.75" hidden="false" customHeight="true" outlineLevel="0" collapsed="false">
      <c r="A53" s="5" t="n">
        <v>49</v>
      </c>
      <c r="B53" s="5" t="s">
        <v>136</v>
      </c>
      <c r="C53" s="8" t="s">
        <v>285</v>
      </c>
      <c r="D53" s="5" t="s">
        <v>434</v>
      </c>
      <c r="E53" s="5" t="s">
        <v>435</v>
      </c>
      <c r="F53" s="5" t="s">
        <v>436</v>
      </c>
    </row>
    <row r="54" customFormat="false" ht="63.75" hidden="false" customHeight="true" outlineLevel="0" collapsed="false">
      <c r="A54" s="7" t="n">
        <v>50</v>
      </c>
      <c r="B54" s="7" t="s">
        <v>335</v>
      </c>
      <c r="C54" s="7" t="s">
        <v>285</v>
      </c>
      <c r="D54" s="7" t="s">
        <v>437</v>
      </c>
      <c r="E54" s="7" t="s">
        <v>438</v>
      </c>
      <c r="F54" s="7" t="s">
        <v>439</v>
      </c>
    </row>
    <row r="55" customFormat="false" ht="63.75" hidden="false" customHeight="true" outlineLevel="0" collapsed="false">
      <c r="A55" s="5" t="n">
        <v>51</v>
      </c>
      <c r="B55" s="5" t="s">
        <v>297</v>
      </c>
      <c r="C55" s="8" t="s">
        <v>293</v>
      </c>
      <c r="D55" s="5" t="s">
        <v>440</v>
      </c>
      <c r="E55" s="5" t="s">
        <v>441</v>
      </c>
      <c r="F55" s="5" t="s">
        <v>442</v>
      </c>
    </row>
    <row r="56" customFormat="false" ht="63.75" hidden="false" customHeight="true" outlineLevel="0" collapsed="false">
      <c r="A56" s="7" t="n">
        <v>52</v>
      </c>
      <c r="B56" s="7" t="s">
        <v>284</v>
      </c>
      <c r="C56" s="7" t="s">
        <v>289</v>
      </c>
      <c r="D56" s="7" t="s">
        <v>443</v>
      </c>
      <c r="E56" s="7" t="s">
        <v>444</v>
      </c>
      <c r="F56" s="7" t="s">
        <v>445</v>
      </c>
    </row>
    <row r="57" customFormat="false" ht="63.75" hidden="false" customHeight="true" outlineLevel="0" collapsed="false">
      <c r="A57" s="5" t="n">
        <v>53</v>
      </c>
      <c r="B57" s="5" t="s">
        <v>127</v>
      </c>
      <c r="C57" s="8" t="s">
        <v>285</v>
      </c>
      <c r="D57" s="5" t="s">
        <v>446</v>
      </c>
      <c r="E57" s="5" t="s">
        <v>447</v>
      </c>
      <c r="F57" s="5" t="s">
        <v>448</v>
      </c>
    </row>
    <row r="58" customFormat="false" ht="63.75" hidden="false" customHeight="true" outlineLevel="0" collapsed="false">
      <c r="A58" s="7" t="n">
        <v>54</v>
      </c>
      <c r="B58" s="7" t="s">
        <v>136</v>
      </c>
      <c r="C58" s="7" t="s">
        <v>285</v>
      </c>
      <c r="D58" s="7" t="s">
        <v>449</v>
      </c>
      <c r="E58" s="7" t="s">
        <v>450</v>
      </c>
      <c r="F58" s="7" t="s">
        <v>451</v>
      </c>
    </row>
    <row r="59" customFormat="false" ht="63.75" hidden="false" customHeight="true" outlineLevel="0" collapsed="false">
      <c r="A59" s="5" t="n">
        <v>55</v>
      </c>
      <c r="B59" s="5" t="s">
        <v>335</v>
      </c>
      <c r="C59" s="8" t="s">
        <v>293</v>
      </c>
      <c r="D59" s="5" t="s">
        <v>452</v>
      </c>
      <c r="E59" s="5" t="s">
        <v>453</v>
      </c>
      <c r="F59" s="5" t="s">
        <v>454</v>
      </c>
    </row>
    <row r="60" customFormat="false" ht="63.75" hidden="false" customHeight="true" outlineLevel="0" collapsed="false">
      <c r="A60" s="7" t="n">
        <v>56</v>
      </c>
      <c r="B60" s="7" t="s">
        <v>284</v>
      </c>
      <c r="C60" s="7" t="s">
        <v>285</v>
      </c>
      <c r="D60" s="7" t="s">
        <v>455</v>
      </c>
      <c r="E60" s="7" t="s">
        <v>456</v>
      </c>
      <c r="F60" s="7" t="s">
        <v>457</v>
      </c>
    </row>
    <row r="61" customFormat="false" ht="63.75" hidden="false" customHeight="true" outlineLevel="0" collapsed="false">
      <c r="A61" s="5" t="n">
        <v>57</v>
      </c>
      <c r="B61" s="5" t="s">
        <v>325</v>
      </c>
      <c r="C61" s="8" t="s">
        <v>285</v>
      </c>
      <c r="D61" s="5" t="s">
        <v>458</v>
      </c>
      <c r="E61" s="5" t="s">
        <v>459</v>
      </c>
      <c r="F61" s="5" t="s">
        <v>460</v>
      </c>
    </row>
    <row r="62" customFormat="false" ht="63.75" hidden="false" customHeight="true" outlineLevel="0" collapsed="false">
      <c r="A62" s="7" t="n">
        <v>58</v>
      </c>
      <c r="B62" s="7" t="s">
        <v>297</v>
      </c>
      <c r="C62" s="7" t="s">
        <v>289</v>
      </c>
      <c r="D62" s="7" t="s">
        <v>461</v>
      </c>
      <c r="E62" s="7" t="s">
        <v>462</v>
      </c>
      <c r="F62" s="7" t="s">
        <v>463</v>
      </c>
    </row>
    <row r="63" customFormat="false" ht="63.75" hidden="false" customHeight="true" outlineLevel="0" collapsed="false">
      <c r="A63" s="5" t="n">
        <v>59</v>
      </c>
      <c r="B63" s="5" t="s">
        <v>127</v>
      </c>
      <c r="C63" s="8" t="s">
        <v>293</v>
      </c>
      <c r="D63" s="5" t="s">
        <v>464</v>
      </c>
      <c r="E63" s="5" t="s">
        <v>465</v>
      </c>
      <c r="F63" s="5" t="s">
        <v>466</v>
      </c>
    </row>
    <row r="64" customFormat="false" ht="63.75" hidden="false" customHeight="true" outlineLevel="0" collapsed="false">
      <c r="A64" s="7" t="n">
        <v>60</v>
      </c>
      <c r="B64" s="7" t="s">
        <v>136</v>
      </c>
      <c r="C64" s="7" t="s">
        <v>289</v>
      </c>
      <c r="D64" s="7" t="s">
        <v>467</v>
      </c>
      <c r="E64" s="7" t="s">
        <v>468</v>
      </c>
      <c r="F64" s="7" t="s">
        <v>469</v>
      </c>
    </row>
    <row r="65" customFormat="false" ht="63.75" hidden="false" customHeight="true" outlineLevel="0" collapsed="false">
      <c r="A65" s="5" t="n">
        <v>61</v>
      </c>
      <c r="B65" s="5" t="s">
        <v>335</v>
      </c>
      <c r="C65" s="8" t="s">
        <v>285</v>
      </c>
      <c r="D65" s="5" t="s">
        <v>470</v>
      </c>
      <c r="E65" s="5" t="s">
        <v>471</v>
      </c>
      <c r="F65" s="5" t="s">
        <v>472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22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54" hidden="false" customHeight="true" outlineLevel="0" collapsed="false">
      <c r="A2" s="2" t="s">
        <v>474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55" hidden="false" customHeight="false" outlineLevel="0" collapsed="false">
      <c r="A4" s="6" t="s">
        <v>280</v>
      </c>
      <c r="B4" s="6" t="s">
        <v>475</v>
      </c>
      <c r="C4" s="6" t="s">
        <v>91</v>
      </c>
      <c r="D4" s="6" t="s">
        <v>476</v>
      </c>
      <c r="E4" s="6" t="s">
        <v>477</v>
      </c>
      <c r="F4" s="6" t="s">
        <v>478</v>
      </c>
      <c r="G4" s="6" t="s">
        <v>479</v>
      </c>
      <c r="H4" s="6" t="s">
        <v>480</v>
      </c>
      <c r="I4" s="6" t="s">
        <v>481</v>
      </c>
      <c r="J4" s="6" t="s">
        <v>482</v>
      </c>
      <c r="K4" s="6" t="s">
        <v>483</v>
      </c>
      <c r="L4" s="6" t="s">
        <v>484</v>
      </c>
    </row>
    <row r="5" customFormat="false" ht="54" hidden="false" customHeight="true" outlineLevel="0" collapsed="false">
      <c r="A5" s="5" t="n">
        <v>1</v>
      </c>
      <c r="B5" s="13" t="s">
        <v>485</v>
      </c>
      <c r="C5" s="5" t="s">
        <v>325</v>
      </c>
      <c r="D5" s="5" t="s">
        <v>486</v>
      </c>
      <c r="E5" s="5" t="s">
        <v>487</v>
      </c>
      <c r="F5" s="5" t="s">
        <v>488</v>
      </c>
      <c r="G5" s="5" t="s">
        <v>489</v>
      </c>
      <c r="H5" s="5" t="s">
        <v>490</v>
      </c>
      <c r="I5" s="5" t="s">
        <v>491</v>
      </c>
      <c r="J5" s="5" t="s">
        <v>492</v>
      </c>
      <c r="K5" s="5" t="s">
        <v>493</v>
      </c>
      <c r="L5" s="5" t="s">
        <v>494</v>
      </c>
    </row>
    <row r="6" customFormat="false" ht="54" hidden="false" customHeight="true" outlineLevel="0" collapsed="false">
      <c r="A6" s="7" t="n">
        <v>2</v>
      </c>
      <c r="B6" s="7" t="s">
        <v>485</v>
      </c>
      <c r="C6" s="7" t="s">
        <v>325</v>
      </c>
      <c r="D6" s="7" t="s">
        <v>495</v>
      </c>
      <c r="E6" s="7" t="s">
        <v>496</v>
      </c>
      <c r="F6" s="7" t="s">
        <v>497</v>
      </c>
      <c r="G6" s="7" t="s">
        <v>498</v>
      </c>
      <c r="H6" s="7" t="s">
        <v>499</v>
      </c>
      <c r="I6" s="7" t="s">
        <v>491</v>
      </c>
      <c r="J6" s="7" t="s">
        <v>500</v>
      </c>
      <c r="K6" s="7" t="s">
        <v>501</v>
      </c>
      <c r="L6" s="7" t="s">
        <v>502</v>
      </c>
    </row>
    <row r="7" customFormat="false" ht="54" hidden="false" customHeight="true" outlineLevel="0" collapsed="false">
      <c r="A7" s="5" t="n">
        <v>3</v>
      </c>
      <c r="B7" s="13" t="s">
        <v>485</v>
      </c>
      <c r="C7" s="5" t="s">
        <v>325</v>
      </c>
      <c r="D7" s="5" t="s">
        <v>503</v>
      </c>
      <c r="E7" s="5" t="s">
        <v>504</v>
      </c>
      <c r="F7" s="5" t="s">
        <v>505</v>
      </c>
      <c r="G7" s="5" t="s">
        <v>506</v>
      </c>
      <c r="H7" s="5" t="s">
        <v>507</v>
      </c>
      <c r="I7" s="5" t="s">
        <v>491</v>
      </c>
      <c r="J7" s="5" t="s">
        <v>508</v>
      </c>
      <c r="K7" s="5" t="s">
        <v>509</v>
      </c>
      <c r="L7" s="5" t="s">
        <v>510</v>
      </c>
    </row>
    <row r="8" customFormat="false" ht="54" hidden="false" customHeight="true" outlineLevel="0" collapsed="false">
      <c r="A8" s="7" t="n">
        <v>4</v>
      </c>
      <c r="B8" s="7" t="s">
        <v>485</v>
      </c>
      <c r="C8" s="7" t="s">
        <v>325</v>
      </c>
      <c r="D8" s="7" t="s">
        <v>511</v>
      </c>
      <c r="E8" s="7" t="s">
        <v>512</v>
      </c>
      <c r="F8" s="7" t="s">
        <v>513</v>
      </c>
      <c r="G8" s="7" t="s">
        <v>514</v>
      </c>
      <c r="H8" s="7" t="s">
        <v>515</v>
      </c>
      <c r="I8" s="7" t="s">
        <v>491</v>
      </c>
      <c r="J8" s="7" t="s">
        <v>516</v>
      </c>
      <c r="K8" s="7" t="s">
        <v>517</v>
      </c>
      <c r="L8" s="7" t="s">
        <v>518</v>
      </c>
    </row>
    <row r="9" customFormat="false" ht="54" hidden="false" customHeight="true" outlineLevel="0" collapsed="false">
      <c r="A9" s="5" t="n">
        <v>5</v>
      </c>
      <c r="B9" s="13" t="s">
        <v>485</v>
      </c>
      <c r="C9" s="5" t="s">
        <v>325</v>
      </c>
      <c r="D9" s="5" t="s">
        <v>519</v>
      </c>
      <c r="E9" s="5" t="s">
        <v>520</v>
      </c>
      <c r="F9" s="5" t="s">
        <v>521</v>
      </c>
      <c r="G9" s="5" t="s">
        <v>522</v>
      </c>
      <c r="H9" s="5" t="s">
        <v>523</v>
      </c>
      <c r="I9" s="5" t="s">
        <v>491</v>
      </c>
      <c r="J9" s="5" t="s">
        <v>524</v>
      </c>
      <c r="K9" s="5" t="s">
        <v>525</v>
      </c>
      <c r="L9" s="5" t="s">
        <v>526</v>
      </c>
    </row>
    <row r="10" customFormat="false" ht="54" hidden="false" customHeight="true" outlineLevel="0" collapsed="false">
      <c r="A10" s="7" t="n">
        <v>6</v>
      </c>
      <c r="B10" s="7" t="s">
        <v>527</v>
      </c>
      <c r="C10" s="7" t="s">
        <v>325</v>
      </c>
      <c r="D10" s="7" t="s">
        <v>528</v>
      </c>
      <c r="E10" s="7" t="s">
        <v>529</v>
      </c>
      <c r="F10" s="7" t="s">
        <v>530</v>
      </c>
      <c r="G10" s="7" t="s">
        <v>531</v>
      </c>
      <c r="H10" s="7" t="s">
        <v>532</v>
      </c>
      <c r="I10" s="7" t="s">
        <v>491</v>
      </c>
      <c r="J10" s="7" t="s">
        <v>533</v>
      </c>
      <c r="K10" s="7" t="s">
        <v>534</v>
      </c>
      <c r="L10" s="7" t="s">
        <v>535</v>
      </c>
    </row>
    <row r="11" customFormat="false" ht="54" hidden="false" customHeight="true" outlineLevel="0" collapsed="false">
      <c r="A11" s="5" t="n">
        <v>7</v>
      </c>
      <c r="B11" s="14" t="s">
        <v>527</v>
      </c>
      <c r="C11" s="5" t="s">
        <v>325</v>
      </c>
      <c r="D11" s="5" t="s">
        <v>536</v>
      </c>
      <c r="E11" s="5" t="s">
        <v>537</v>
      </c>
      <c r="F11" s="5" t="s">
        <v>538</v>
      </c>
      <c r="G11" s="5" t="s">
        <v>539</v>
      </c>
      <c r="H11" s="5" t="s">
        <v>540</v>
      </c>
      <c r="I11" s="5" t="s">
        <v>491</v>
      </c>
      <c r="J11" s="5" t="s">
        <v>541</v>
      </c>
      <c r="K11" s="5" t="s">
        <v>542</v>
      </c>
      <c r="L11" s="5" t="s">
        <v>543</v>
      </c>
    </row>
    <row r="12" customFormat="false" ht="54" hidden="false" customHeight="true" outlineLevel="0" collapsed="false">
      <c r="A12" s="7" t="n">
        <v>8</v>
      </c>
      <c r="B12" s="7" t="s">
        <v>527</v>
      </c>
      <c r="C12" s="7" t="s">
        <v>325</v>
      </c>
      <c r="D12" s="7" t="s">
        <v>544</v>
      </c>
      <c r="E12" s="7" t="s">
        <v>545</v>
      </c>
      <c r="F12" s="7" t="s">
        <v>546</v>
      </c>
      <c r="G12" s="7" t="s">
        <v>547</v>
      </c>
      <c r="H12" s="7" t="s">
        <v>548</v>
      </c>
      <c r="I12" s="7" t="s">
        <v>491</v>
      </c>
      <c r="J12" s="7" t="s">
        <v>549</v>
      </c>
      <c r="K12" s="7" t="s">
        <v>550</v>
      </c>
      <c r="L12" s="7" t="s">
        <v>551</v>
      </c>
    </row>
    <row r="13" customFormat="false" ht="54" hidden="false" customHeight="true" outlineLevel="0" collapsed="false">
      <c r="A13" s="5" t="n">
        <v>9</v>
      </c>
      <c r="B13" s="14" t="s">
        <v>527</v>
      </c>
      <c r="C13" s="5" t="s">
        <v>325</v>
      </c>
      <c r="D13" s="5" t="s">
        <v>552</v>
      </c>
      <c r="E13" s="5" t="s">
        <v>553</v>
      </c>
      <c r="F13" s="5" t="s">
        <v>554</v>
      </c>
      <c r="G13" s="5" t="s">
        <v>555</v>
      </c>
      <c r="H13" s="5" t="s">
        <v>556</v>
      </c>
      <c r="I13" s="5" t="s">
        <v>491</v>
      </c>
      <c r="J13" s="5" t="s">
        <v>557</v>
      </c>
      <c r="K13" s="5" t="s">
        <v>558</v>
      </c>
      <c r="L13" s="5" t="s">
        <v>559</v>
      </c>
    </row>
    <row r="14" customFormat="false" ht="54" hidden="false" customHeight="true" outlineLevel="0" collapsed="false">
      <c r="A14" s="7" t="n">
        <v>10</v>
      </c>
      <c r="B14" s="7" t="s">
        <v>527</v>
      </c>
      <c r="C14" s="7" t="s">
        <v>325</v>
      </c>
      <c r="D14" s="7" t="s">
        <v>560</v>
      </c>
      <c r="E14" s="7" t="s">
        <v>561</v>
      </c>
      <c r="F14" s="7" t="s">
        <v>562</v>
      </c>
      <c r="G14" s="7" t="s">
        <v>563</v>
      </c>
      <c r="H14" s="7" t="s">
        <v>490</v>
      </c>
      <c r="I14" s="7" t="s">
        <v>491</v>
      </c>
      <c r="J14" s="7" t="s">
        <v>564</v>
      </c>
      <c r="K14" s="7" t="s">
        <v>565</v>
      </c>
      <c r="L14" s="7" t="s">
        <v>566</v>
      </c>
    </row>
    <row r="15" customFormat="false" ht="54" hidden="false" customHeight="true" outlineLevel="0" collapsed="false">
      <c r="A15" s="5" t="n">
        <v>11</v>
      </c>
      <c r="B15" s="14" t="s">
        <v>527</v>
      </c>
      <c r="C15" s="5" t="s">
        <v>325</v>
      </c>
      <c r="D15" s="5" t="s">
        <v>567</v>
      </c>
      <c r="E15" s="5" t="s">
        <v>568</v>
      </c>
      <c r="F15" s="5" t="s">
        <v>569</v>
      </c>
      <c r="G15" s="5" t="s">
        <v>570</v>
      </c>
      <c r="H15" s="5" t="s">
        <v>571</v>
      </c>
      <c r="I15" s="5" t="s">
        <v>491</v>
      </c>
      <c r="J15" s="5" t="s">
        <v>572</v>
      </c>
      <c r="K15" s="5" t="s">
        <v>534</v>
      </c>
      <c r="L15" s="5" t="s">
        <v>573</v>
      </c>
    </row>
    <row r="16" customFormat="false" ht="54" hidden="false" customHeight="true" outlineLevel="0" collapsed="false">
      <c r="A16" s="7" t="n">
        <v>12</v>
      </c>
      <c r="B16" s="7" t="s">
        <v>527</v>
      </c>
      <c r="C16" s="7" t="s">
        <v>325</v>
      </c>
      <c r="D16" s="7" t="s">
        <v>574</v>
      </c>
      <c r="E16" s="7" t="s">
        <v>575</v>
      </c>
      <c r="F16" s="7" t="s">
        <v>576</v>
      </c>
      <c r="G16" s="7" t="s">
        <v>577</v>
      </c>
      <c r="H16" s="7" t="s">
        <v>578</v>
      </c>
      <c r="I16" s="7" t="s">
        <v>491</v>
      </c>
      <c r="J16" s="7" t="s">
        <v>579</v>
      </c>
      <c r="K16" s="7" t="s">
        <v>580</v>
      </c>
      <c r="L16" s="7" t="s">
        <v>581</v>
      </c>
    </row>
    <row r="17" customFormat="false" ht="54" hidden="false" customHeight="true" outlineLevel="0" collapsed="false">
      <c r="A17" s="5" t="n">
        <v>13</v>
      </c>
      <c r="B17" s="14" t="s">
        <v>527</v>
      </c>
      <c r="C17" s="5" t="s">
        <v>325</v>
      </c>
      <c r="D17" s="5" t="s">
        <v>582</v>
      </c>
      <c r="E17" s="5" t="s">
        <v>583</v>
      </c>
      <c r="F17" s="5" t="s">
        <v>584</v>
      </c>
      <c r="G17" s="5" t="s">
        <v>585</v>
      </c>
      <c r="H17" s="5" t="s">
        <v>586</v>
      </c>
      <c r="I17" s="5" t="s">
        <v>491</v>
      </c>
      <c r="J17" s="5" t="s">
        <v>587</v>
      </c>
      <c r="K17" s="5" t="s">
        <v>588</v>
      </c>
      <c r="L17" s="5" t="s">
        <v>589</v>
      </c>
    </row>
    <row r="18" customFormat="false" ht="54" hidden="false" customHeight="true" outlineLevel="0" collapsed="false">
      <c r="A18" s="7" t="n">
        <v>14</v>
      </c>
      <c r="B18" s="7" t="s">
        <v>590</v>
      </c>
      <c r="C18" s="7" t="s">
        <v>325</v>
      </c>
      <c r="D18" s="7" t="s">
        <v>591</v>
      </c>
      <c r="E18" s="7" t="s">
        <v>592</v>
      </c>
      <c r="F18" s="7" t="s">
        <v>593</v>
      </c>
      <c r="G18" s="7" t="s">
        <v>594</v>
      </c>
      <c r="H18" s="7" t="s">
        <v>595</v>
      </c>
      <c r="I18" s="7" t="s">
        <v>491</v>
      </c>
      <c r="J18" s="7" t="s">
        <v>596</v>
      </c>
      <c r="K18" s="7" t="s">
        <v>597</v>
      </c>
      <c r="L18" s="7" t="s">
        <v>598</v>
      </c>
    </row>
    <row r="19" customFormat="false" ht="54" hidden="false" customHeight="true" outlineLevel="0" collapsed="false">
      <c r="A19" s="5" t="n">
        <v>15</v>
      </c>
      <c r="B19" s="5" t="s">
        <v>590</v>
      </c>
      <c r="C19" s="5" t="s">
        <v>325</v>
      </c>
      <c r="D19" s="5" t="s">
        <v>599</v>
      </c>
      <c r="E19" s="5" t="s">
        <v>600</v>
      </c>
      <c r="F19" s="5" t="s">
        <v>601</v>
      </c>
      <c r="G19" s="5" t="s">
        <v>602</v>
      </c>
      <c r="H19" s="5" t="s">
        <v>603</v>
      </c>
      <c r="I19" s="5" t="s">
        <v>491</v>
      </c>
      <c r="J19" s="5" t="s">
        <v>604</v>
      </c>
      <c r="K19" s="5" t="s">
        <v>605</v>
      </c>
      <c r="L19" s="5" t="s">
        <v>606</v>
      </c>
    </row>
    <row r="20" customFormat="false" ht="54" hidden="false" customHeight="true" outlineLevel="0" collapsed="false">
      <c r="A20" s="7" t="n">
        <v>16</v>
      </c>
      <c r="B20" s="7" t="s">
        <v>590</v>
      </c>
      <c r="C20" s="7" t="s">
        <v>325</v>
      </c>
      <c r="D20" s="7" t="s">
        <v>607</v>
      </c>
      <c r="E20" s="7" t="s">
        <v>608</v>
      </c>
      <c r="F20" s="7" t="s">
        <v>609</v>
      </c>
      <c r="G20" s="7" t="s">
        <v>610</v>
      </c>
      <c r="H20" s="7" t="s">
        <v>611</v>
      </c>
      <c r="I20" s="7" t="s">
        <v>491</v>
      </c>
      <c r="J20" s="7" t="s">
        <v>612</v>
      </c>
      <c r="K20" s="7" t="s">
        <v>613</v>
      </c>
      <c r="L20" s="7" t="s">
        <v>614</v>
      </c>
    </row>
    <row r="21" customFormat="false" ht="54" hidden="false" customHeight="true" outlineLevel="0" collapsed="false">
      <c r="A21" s="5" t="n">
        <v>17</v>
      </c>
      <c r="B21" s="5" t="s">
        <v>590</v>
      </c>
      <c r="C21" s="5" t="s">
        <v>325</v>
      </c>
      <c r="D21" s="5" t="s">
        <v>615</v>
      </c>
      <c r="E21" s="5" t="s">
        <v>616</v>
      </c>
      <c r="F21" s="5" t="s">
        <v>617</v>
      </c>
      <c r="G21" s="5" t="s">
        <v>618</v>
      </c>
      <c r="H21" s="5" t="s">
        <v>532</v>
      </c>
      <c r="I21" s="5" t="s">
        <v>491</v>
      </c>
      <c r="J21" s="5" t="s">
        <v>619</v>
      </c>
      <c r="K21" s="5" t="s">
        <v>534</v>
      </c>
      <c r="L21" s="5" t="s">
        <v>620</v>
      </c>
    </row>
    <row r="22" customFormat="false" ht="54" hidden="false" customHeight="true" outlineLevel="0" collapsed="false">
      <c r="A22" s="7" t="n">
        <v>18</v>
      </c>
      <c r="B22" s="7" t="s">
        <v>590</v>
      </c>
      <c r="C22" s="7" t="s">
        <v>325</v>
      </c>
      <c r="D22" s="7" t="s">
        <v>621</v>
      </c>
      <c r="E22" s="7" t="s">
        <v>622</v>
      </c>
      <c r="F22" s="7" t="s">
        <v>623</v>
      </c>
      <c r="G22" s="7" t="s">
        <v>624</v>
      </c>
      <c r="H22" s="7" t="s">
        <v>625</v>
      </c>
      <c r="I22" s="7" t="s">
        <v>491</v>
      </c>
      <c r="J22" s="7" t="s">
        <v>626</v>
      </c>
      <c r="K22" s="7" t="s">
        <v>627</v>
      </c>
      <c r="L22" s="7" t="s">
        <v>628</v>
      </c>
    </row>
    <row r="23" customFormat="false" ht="54" hidden="false" customHeight="true" outlineLevel="0" collapsed="false">
      <c r="A23" s="5" t="n">
        <v>19</v>
      </c>
      <c r="B23" s="5" t="s">
        <v>590</v>
      </c>
      <c r="C23" s="5" t="s">
        <v>325</v>
      </c>
      <c r="D23" s="5" t="s">
        <v>629</v>
      </c>
      <c r="E23" s="5" t="s">
        <v>630</v>
      </c>
      <c r="F23" s="5" t="s">
        <v>631</v>
      </c>
      <c r="G23" s="5" t="s">
        <v>632</v>
      </c>
      <c r="H23" s="5" t="s">
        <v>633</v>
      </c>
      <c r="I23" s="5" t="s">
        <v>491</v>
      </c>
      <c r="J23" s="5" t="s">
        <v>634</v>
      </c>
      <c r="K23" s="5" t="s">
        <v>635</v>
      </c>
      <c r="L23" s="5" t="s">
        <v>636</v>
      </c>
    </row>
    <row r="24" customFormat="false" ht="54" hidden="false" customHeight="true" outlineLevel="0" collapsed="false">
      <c r="A24" s="7" t="n">
        <v>20</v>
      </c>
      <c r="B24" s="7" t="s">
        <v>590</v>
      </c>
      <c r="C24" s="7" t="s">
        <v>325</v>
      </c>
      <c r="D24" s="7" t="s">
        <v>637</v>
      </c>
      <c r="E24" s="7" t="s">
        <v>638</v>
      </c>
      <c r="F24" s="7" t="s">
        <v>639</v>
      </c>
      <c r="G24" s="7" t="s">
        <v>640</v>
      </c>
      <c r="H24" s="7" t="s">
        <v>641</v>
      </c>
      <c r="I24" s="7" t="s">
        <v>491</v>
      </c>
      <c r="J24" s="7" t="s">
        <v>642</v>
      </c>
      <c r="K24" s="7" t="s">
        <v>580</v>
      </c>
      <c r="L24" s="7" t="s">
        <v>643</v>
      </c>
    </row>
    <row r="25" customFormat="false" ht="54" hidden="false" customHeight="true" outlineLevel="0" collapsed="false">
      <c r="A25" s="5" t="n">
        <v>21</v>
      </c>
      <c r="B25" s="13" t="s">
        <v>485</v>
      </c>
      <c r="C25" s="5" t="s">
        <v>284</v>
      </c>
      <c r="D25" s="5" t="s">
        <v>644</v>
      </c>
      <c r="E25" s="5" t="s">
        <v>645</v>
      </c>
      <c r="F25" s="5" t="s">
        <v>646</v>
      </c>
      <c r="G25" s="5" t="s">
        <v>647</v>
      </c>
      <c r="H25" s="5" t="s">
        <v>648</v>
      </c>
      <c r="I25" s="5" t="s">
        <v>491</v>
      </c>
      <c r="J25" s="5" t="s">
        <v>649</v>
      </c>
      <c r="K25" s="5" t="s">
        <v>650</v>
      </c>
      <c r="L25" s="5" t="s">
        <v>651</v>
      </c>
    </row>
    <row r="26" customFormat="false" ht="54" hidden="false" customHeight="true" outlineLevel="0" collapsed="false">
      <c r="A26" s="7" t="n">
        <v>22</v>
      </c>
      <c r="B26" s="7" t="s">
        <v>485</v>
      </c>
      <c r="C26" s="7" t="s">
        <v>284</v>
      </c>
      <c r="D26" s="7" t="s">
        <v>652</v>
      </c>
      <c r="E26" s="7" t="s">
        <v>653</v>
      </c>
      <c r="F26" s="7" t="s">
        <v>654</v>
      </c>
      <c r="G26" s="7" t="s">
        <v>655</v>
      </c>
      <c r="H26" s="7" t="s">
        <v>656</v>
      </c>
      <c r="I26" s="7" t="s">
        <v>491</v>
      </c>
      <c r="J26" s="7" t="s">
        <v>657</v>
      </c>
      <c r="K26" s="7" t="s">
        <v>658</v>
      </c>
      <c r="L26" s="7" t="s">
        <v>659</v>
      </c>
    </row>
    <row r="27" customFormat="false" ht="54" hidden="false" customHeight="true" outlineLevel="0" collapsed="false">
      <c r="A27" s="5" t="n">
        <v>23</v>
      </c>
      <c r="B27" s="13" t="s">
        <v>485</v>
      </c>
      <c r="C27" s="5" t="s">
        <v>284</v>
      </c>
      <c r="D27" s="5" t="s">
        <v>660</v>
      </c>
      <c r="E27" s="5" t="s">
        <v>661</v>
      </c>
      <c r="F27" s="5" t="s">
        <v>662</v>
      </c>
      <c r="G27" s="5" t="s">
        <v>663</v>
      </c>
      <c r="H27" s="5" t="s">
        <v>664</v>
      </c>
      <c r="I27" s="5" t="s">
        <v>491</v>
      </c>
      <c r="J27" s="5" t="s">
        <v>665</v>
      </c>
      <c r="K27" s="5" t="s">
        <v>666</v>
      </c>
      <c r="L27" s="5" t="s">
        <v>667</v>
      </c>
    </row>
    <row r="28" customFormat="false" ht="54" hidden="false" customHeight="true" outlineLevel="0" collapsed="false">
      <c r="A28" s="7" t="n">
        <v>24</v>
      </c>
      <c r="B28" s="7" t="s">
        <v>527</v>
      </c>
      <c r="C28" s="7" t="s">
        <v>284</v>
      </c>
      <c r="D28" s="7" t="s">
        <v>668</v>
      </c>
      <c r="E28" s="7" t="s">
        <v>669</v>
      </c>
      <c r="F28" s="7" t="s">
        <v>670</v>
      </c>
      <c r="G28" s="7" t="s">
        <v>671</v>
      </c>
      <c r="H28" s="7" t="s">
        <v>672</v>
      </c>
      <c r="I28" s="7" t="s">
        <v>491</v>
      </c>
      <c r="J28" s="7" t="s">
        <v>673</v>
      </c>
      <c r="K28" s="7" t="s">
        <v>674</v>
      </c>
      <c r="L28" s="7" t="s">
        <v>675</v>
      </c>
    </row>
    <row r="29" customFormat="false" ht="54" hidden="false" customHeight="true" outlineLevel="0" collapsed="false">
      <c r="A29" s="5" t="n">
        <v>25</v>
      </c>
      <c r="B29" s="14" t="s">
        <v>527</v>
      </c>
      <c r="C29" s="5" t="s">
        <v>284</v>
      </c>
      <c r="D29" s="5" t="s">
        <v>676</v>
      </c>
      <c r="E29" s="5" t="s">
        <v>677</v>
      </c>
      <c r="F29" s="5" t="s">
        <v>678</v>
      </c>
      <c r="G29" s="5" t="s">
        <v>679</v>
      </c>
      <c r="H29" s="5" t="s">
        <v>680</v>
      </c>
      <c r="I29" s="5" t="s">
        <v>491</v>
      </c>
      <c r="J29" s="5" t="s">
        <v>681</v>
      </c>
      <c r="K29" s="5" t="s">
        <v>682</v>
      </c>
      <c r="L29" s="5" t="s">
        <v>683</v>
      </c>
    </row>
    <row r="30" customFormat="false" ht="54" hidden="false" customHeight="true" outlineLevel="0" collapsed="false">
      <c r="A30" s="7" t="n">
        <v>26</v>
      </c>
      <c r="B30" s="7" t="s">
        <v>527</v>
      </c>
      <c r="C30" s="7" t="s">
        <v>284</v>
      </c>
      <c r="D30" s="7" t="s">
        <v>684</v>
      </c>
      <c r="E30" s="7" t="s">
        <v>685</v>
      </c>
      <c r="F30" s="7" t="s">
        <v>686</v>
      </c>
      <c r="G30" s="7" t="s">
        <v>687</v>
      </c>
      <c r="H30" s="7" t="s">
        <v>688</v>
      </c>
      <c r="I30" s="7" t="s">
        <v>491</v>
      </c>
      <c r="J30" s="7" t="s">
        <v>689</v>
      </c>
      <c r="K30" s="7" t="s">
        <v>690</v>
      </c>
      <c r="L30" s="7" t="s">
        <v>691</v>
      </c>
    </row>
    <row r="31" customFormat="false" ht="54" hidden="false" customHeight="true" outlineLevel="0" collapsed="false">
      <c r="A31" s="5" t="n">
        <v>27</v>
      </c>
      <c r="B31" s="14" t="s">
        <v>527</v>
      </c>
      <c r="C31" s="5" t="s">
        <v>284</v>
      </c>
      <c r="D31" s="5" t="s">
        <v>692</v>
      </c>
      <c r="E31" s="5" t="s">
        <v>693</v>
      </c>
      <c r="F31" s="5" t="s">
        <v>694</v>
      </c>
      <c r="G31" s="5" t="s">
        <v>695</v>
      </c>
      <c r="H31" s="5" t="s">
        <v>696</v>
      </c>
      <c r="I31" s="5" t="s">
        <v>697</v>
      </c>
      <c r="J31" s="5" t="s">
        <v>698</v>
      </c>
      <c r="K31" s="5" t="s">
        <v>699</v>
      </c>
      <c r="L31" s="5" t="s">
        <v>700</v>
      </c>
    </row>
    <row r="32" customFormat="false" ht="54" hidden="false" customHeight="true" outlineLevel="0" collapsed="false">
      <c r="A32" s="7" t="n">
        <v>28</v>
      </c>
      <c r="B32" s="7" t="s">
        <v>485</v>
      </c>
      <c r="C32" s="7" t="s">
        <v>127</v>
      </c>
      <c r="D32" s="7" t="s">
        <v>701</v>
      </c>
      <c r="E32" s="7" t="s">
        <v>702</v>
      </c>
      <c r="F32" s="7" t="s">
        <v>703</v>
      </c>
      <c r="G32" s="7" t="s">
        <v>704</v>
      </c>
      <c r="H32" s="7" t="s">
        <v>705</v>
      </c>
      <c r="I32" s="7" t="s">
        <v>491</v>
      </c>
      <c r="J32" s="7" t="s">
        <v>706</v>
      </c>
      <c r="K32" s="7" t="s">
        <v>707</v>
      </c>
      <c r="L32" s="7" t="s">
        <v>708</v>
      </c>
    </row>
    <row r="33" customFormat="false" ht="54" hidden="false" customHeight="true" outlineLevel="0" collapsed="false">
      <c r="A33" s="5" t="n">
        <v>29</v>
      </c>
      <c r="B33" s="13" t="s">
        <v>485</v>
      </c>
      <c r="C33" s="5" t="s">
        <v>127</v>
      </c>
      <c r="D33" s="5" t="s">
        <v>709</v>
      </c>
      <c r="E33" s="5" t="s">
        <v>710</v>
      </c>
      <c r="F33" s="5" t="s">
        <v>711</v>
      </c>
      <c r="G33" s="5" t="s">
        <v>712</v>
      </c>
      <c r="H33" s="5" t="s">
        <v>713</v>
      </c>
      <c r="I33" s="5" t="s">
        <v>491</v>
      </c>
      <c r="J33" s="5" t="s">
        <v>714</v>
      </c>
      <c r="K33" s="5" t="s">
        <v>715</v>
      </c>
      <c r="L33" s="5" t="s">
        <v>716</v>
      </c>
    </row>
    <row r="34" customFormat="false" ht="54" hidden="false" customHeight="true" outlineLevel="0" collapsed="false">
      <c r="A34" s="7" t="n">
        <v>30</v>
      </c>
      <c r="B34" s="7" t="s">
        <v>527</v>
      </c>
      <c r="C34" s="7" t="s">
        <v>127</v>
      </c>
      <c r="D34" s="7" t="s">
        <v>717</v>
      </c>
      <c r="E34" s="7" t="s">
        <v>718</v>
      </c>
      <c r="F34" s="7" t="s">
        <v>719</v>
      </c>
      <c r="G34" s="7" t="s">
        <v>720</v>
      </c>
      <c r="H34" s="7" t="s">
        <v>721</v>
      </c>
      <c r="I34" s="7" t="s">
        <v>491</v>
      </c>
      <c r="J34" s="7" t="s">
        <v>722</v>
      </c>
      <c r="K34" s="7" t="s">
        <v>723</v>
      </c>
      <c r="L34" s="7" t="s">
        <v>724</v>
      </c>
    </row>
    <row r="35" customFormat="false" ht="54" hidden="false" customHeight="true" outlineLevel="0" collapsed="false">
      <c r="A35" s="5" t="n">
        <v>31</v>
      </c>
      <c r="B35" s="14" t="s">
        <v>527</v>
      </c>
      <c r="C35" s="5" t="s">
        <v>127</v>
      </c>
      <c r="D35" s="5" t="s">
        <v>725</v>
      </c>
      <c r="E35" s="5" t="s">
        <v>726</v>
      </c>
      <c r="F35" s="5" t="s">
        <v>727</v>
      </c>
      <c r="G35" s="5" t="s">
        <v>728</v>
      </c>
      <c r="H35" s="5" t="s">
        <v>729</v>
      </c>
      <c r="I35" s="5" t="s">
        <v>491</v>
      </c>
      <c r="J35" s="5" t="s">
        <v>730</v>
      </c>
      <c r="K35" s="5" t="s">
        <v>731</v>
      </c>
      <c r="L35" s="5" t="s">
        <v>732</v>
      </c>
    </row>
    <row r="36" customFormat="false" ht="54" hidden="false" customHeight="true" outlineLevel="0" collapsed="false">
      <c r="A36" s="7" t="n">
        <v>32</v>
      </c>
      <c r="B36" s="7" t="s">
        <v>527</v>
      </c>
      <c r="C36" s="7" t="s">
        <v>127</v>
      </c>
      <c r="D36" s="7" t="s">
        <v>733</v>
      </c>
      <c r="E36" s="7" t="s">
        <v>734</v>
      </c>
      <c r="F36" s="7" t="s">
        <v>735</v>
      </c>
      <c r="G36" s="7" t="s">
        <v>671</v>
      </c>
      <c r="H36" s="7" t="s">
        <v>696</v>
      </c>
      <c r="I36" s="7" t="s">
        <v>491</v>
      </c>
      <c r="J36" s="7" t="s">
        <v>736</v>
      </c>
      <c r="K36" s="7" t="s">
        <v>737</v>
      </c>
      <c r="L36" s="7" t="s">
        <v>738</v>
      </c>
    </row>
    <row r="37" customFormat="false" ht="54" hidden="false" customHeight="true" outlineLevel="0" collapsed="false">
      <c r="A37" s="5" t="n">
        <v>33</v>
      </c>
      <c r="B37" s="5" t="s">
        <v>590</v>
      </c>
      <c r="C37" s="5" t="s">
        <v>127</v>
      </c>
      <c r="D37" s="5" t="s">
        <v>739</v>
      </c>
      <c r="E37" s="5" t="s">
        <v>740</v>
      </c>
      <c r="F37" s="5" t="s">
        <v>741</v>
      </c>
      <c r="G37" s="5" t="s">
        <v>742</v>
      </c>
      <c r="H37" s="5" t="s">
        <v>743</v>
      </c>
      <c r="I37" s="5" t="s">
        <v>491</v>
      </c>
      <c r="J37" s="5" t="s">
        <v>744</v>
      </c>
      <c r="K37" s="5" t="s">
        <v>745</v>
      </c>
      <c r="L37" s="5" t="s">
        <v>746</v>
      </c>
    </row>
    <row r="38" customFormat="false" ht="54" hidden="false" customHeight="true" outlineLevel="0" collapsed="false">
      <c r="A38" s="7" t="n">
        <v>34</v>
      </c>
      <c r="B38" s="7" t="s">
        <v>485</v>
      </c>
      <c r="C38" s="7" t="s">
        <v>136</v>
      </c>
      <c r="D38" s="7" t="s">
        <v>747</v>
      </c>
      <c r="E38" s="7" t="s">
        <v>748</v>
      </c>
      <c r="F38" s="7" t="s">
        <v>749</v>
      </c>
      <c r="G38" s="7" t="s">
        <v>679</v>
      </c>
      <c r="H38" s="7" t="s">
        <v>750</v>
      </c>
      <c r="I38" s="7" t="s">
        <v>491</v>
      </c>
      <c r="J38" s="7" t="s">
        <v>751</v>
      </c>
      <c r="K38" s="7" t="s">
        <v>752</v>
      </c>
      <c r="L38" s="7" t="s">
        <v>753</v>
      </c>
    </row>
    <row r="39" customFormat="false" ht="54" hidden="false" customHeight="true" outlineLevel="0" collapsed="false">
      <c r="A39" s="5" t="n">
        <v>35</v>
      </c>
      <c r="B39" s="13" t="s">
        <v>485</v>
      </c>
      <c r="C39" s="5" t="s">
        <v>136</v>
      </c>
      <c r="D39" s="5" t="s">
        <v>754</v>
      </c>
      <c r="E39" s="5" t="s">
        <v>755</v>
      </c>
      <c r="F39" s="5" t="s">
        <v>756</v>
      </c>
      <c r="G39" s="5" t="s">
        <v>757</v>
      </c>
      <c r="H39" s="5" t="s">
        <v>758</v>
      </c>
      <c r="I39" s="5" t="s">
        <v>491</v>
      </c>
      <c r="J39" s="5" t="s">
        <v>759</v>
      </c>
      <c r="K39" s="5" t="s">
        <v>760</v>
      </c>
      <c r="L39" s="5" t="s">
        <v>761</v>
      </c>
    </row>
    <row r="40" customFormat="false" ht="54" hidden="false" customHeight="true" outlineLevel="0" collapsed="false">
      <c r="A40" s="7" t="n">
        <v>36</v>
      </c>
      <c r="B40" s="7" t="s">
        <v>527</v>
      </c>
      <c r="C40" s="7" t="s">
        <v>136</v>
      </c>
      <c r="D40" s="7" t="s">
        <v>762</v>
      </c>
      <c r="E40" s="7" t="s">
        <v>763</v>
      </c>
      <c r="F40" s="7" t="s">
        <v>764</v>
      </c>
      <c r="G40" s="7" t="s">
        <v>663</v>
      </c>
      <c r="H40" s="7" t="s">
        <v>765</v>
      </c>
      <c r="I40" s="7" t="s">
        <v>491</v>
      </c>
      <c r="J40" s="7" t="s">
        <v>766</v>
      </c>
      <c r="K40" s="7" t="s">
        <v>731</v>
      </c>
      <c r="L40" s="7" t="s">
        <v>767</v>
      </c>
    </row>
    <row r="41" customFormat="false" ht="54" hidden="false" customHeight="true" outlineLevel="0" collapsed="false">
      <c r="A41" s="5" t="n">
        <v>37</v>
      </c>
      <c r="B41" s="14" t="s">
        <v>527</v>
      </c>
      <c r="C41" s="5" t="s">
        <v>136</v>
      </c>
      <c r="D41" s="5" t="s">
        <v>768</v>
      </c>
      <c r="E41" s="5" t="s">
        <v>769</v>
      </c>
      <c r="F41" s="5" t="s">
        <v>770</v>
      </c>
      <c r="G41" s="5" t="s">
        <v>624</v>
      </c>
      <c r="H41" s="5" t="s">
        <v>771</v>
      </c>
      <c r="I41" s="5" t="s">
        <v>491</v>
      </c>
      <c r="J41" s="5" t="s">
        <v>772</v>
      </c>
      <c r="K41" s="5" t="s">
        <v>773</v>
      </c>
      <c r="L41" s="5" t="s">
        <v>774</v>
      </c>
    </row>
    <row r="42" customFormat="false" ht="54" hidden="false" customHeight="true" outlineLevel="0" collapsed="false">
      <c r="A42" s="7" t="n">
        <v>38</v>
      </c>
      <c r="B42" s="7" t="s">
        <v>485</v>
      </c>
      <c r="C42" s="7" t="s">
        <v>335</v>
      </c>
      <c r="D42" s="7" t="s">
        <v>775</v>
      </c>
      <c r="E42" s="7" t="s">
        <v>776</v>
      </c>
      <c r="F42" s="7" t="s">
        <v>777</v>
      </c>
      <c r="G42" s="7" t="s">
        <v>778</v>
      </c>
      <c r="H42" s="7" t="s">
        <v>779</v>
      </c>
      <c r="I42" s="7" t="s">
        <v>697</v>
      </c>
      <c r="J42" s="7" t="s">
        <v>780</v>
      </c>
      <c r="K42" s="7" t="s">
        <v>781</v>
      </c>
      <c r="L42" s="7" t="s">
        <v>782</v>
      </c>
    </row>
    <row r="43" customFormat="false" ht="54" hidden="false" customHeight="true" outlineLevel="0" collapsed="false">
      <c r="A43" s="5" t="n">
        <v>39</v>
      </c>
      <c r="B43" s="13" t="s">
        <v>485</v>
      </c>
      <c r="C43" s="5" t="s">
        <v>335</v>
      </c>
      <c r="D43" s="5" t="s">
        <v>783</v>
      </c>
      <c r="E43" s="5" t="s">
        <v>784</v>
      </c>
      <c r="F43" s="5" t="s">
        <v>785</v>
      </c>
      <c r="G43" s="5" t="s">
        <v>786</v>
      </c>
      <c r="H43" s="5" t="s">
        <v>787</v>
      </c>
      <c r="I43" s="5" t="s">
        <v>491</v>
      </c>
      <c r="J43" s="5" t="s">
        <v>788</v>
      </c>
      <c r="K43" s="5" t="s">
        <v>682</v>
      </c>
      <c r="L43" s="5" t="s">
        <v>789</v>
      </c>
    </row>
    <row r="44" customFormat="false" ht="54" hidden="false" customHeight="true" outlineLevel="0" collapsed="false">
      <c r="A44" s="7" t="n">
        <v>40</v>
      </c>
      <c r="B44" s="7" t="s">
        <v>527</v>
      </c>
      <c r="C44" s="7" t="s">
        <v>335</v>
      </c>
      <c r="D44" s="7" t="s">
        <v>790</v>
      </c>
      <c r="E44" s="7" t="s">
        <v>791</v>
      </c>
      <c r="F44" s="7" t="s">
        <v>792</v>
      </c>
      <c r="G44" s="7" t="s">
        <v>793</v>
      </c>
      <c r="H44" s="7" t="s">
        <v>794</v>
      </c>
      <c r="I44" s="7" t="s">
        <v>491</v>
      </c>
      <c r="J44" s="7" t="s">
        <v>795</v>
      </c>
      <c r="K44" s="7" t="s">
        <v>796</v>
      </c>
      <c r="L44" s="7" t="s">
        <v>797</v>
      </c>
    </row>
    <row r="45" customFormat="false" ht="54" hidden="false" customHeight="true" outlineLevel="0" collapsed="false">
      <c r="A45" s="5" t="n">
        <v>41</v>
      </c>
      <c r="B45" s="13" t="s">
        <v>485</v>
      </c>
      <c r="C45" s="5" t="s">
        <v>798</v>
      </c>
      <c r="D45" s="5" t="s">
        <v>799</v>
      </c>
      <c r="E45" s="5" t="s">
        <v>800</v>
      </c>
      <c r="F45" s="5" t="s">
        <v>801</v>
      </c>
      <c r="G45" s="5" t="s">
        <v>802</v>
      </c>
      <c r="H45" s="5" t="s">
        <v>803</v>
      </c>
      <c r="I45" s="5" t="s">
        <v>491</v>
      </c>
      <c r="J45" s="5" t="s">
        <v>804</v>
      </c>
      <c r="K45" s="5" t="s">
        <v>805</v>
      </c>
      <c r="L45" s="5" t="s">
        <v>806</v>
      </c>
    </row>
    <row r="46" customFormat="false" ht="54" hidden="false" customHeight="true" outlineLevel="0" collapsed="false">
      <c r="A46" s="7" t="n">
        <v>42</v>
      </c>
      <c r="B46" s="7" t="s">
        <v>485</v>
      </c>
      <c r="C46" s="7" t="s">
        <v>798</v>
      </c>
      <c r="D46" s="7" t="s">
        <v>807</v>
      </c>
      <c r="E46" s="7" t="s">
        <v>808</v>
      </c>
      <c r="F46" s="7" t="s">
        <v>809</v>
      </c>
      <c r="G46" s="7" t="s">
        <v>810</v>
      </c>
      <c r="H46" s="7" t="s">
        <v>803</v>
      </c>
      <c r="I46" s="7" t="s">
        <v>491</v>
      </c>
      <c r="J46" s="7" t="s">
        <v>811</v>
      </c>
      <c r="K46" s="7" t="s">
        <v>812</v>
      </c>
      <c r="L46" s="7" t="s">
        <v>813</v>
      </c>
    </row>
    <row r="47" customFormat="false" ht="54" hidden="false" customHeight="true" outlineLevel="0" collapsed="false">
      <c r="A47" s="5" t="n">
        <v>43</v>
      </c>
      <c r="B47" s="14" t="s">
        <v>527</v>
      </c>
      <c r="C47" s="5" t="s">
        <v>798</v>
      </c>
      <c r="D47" s="5" t="s">
        <v>814</v>
      </c>
      <c r="E47" s="5" t="s">
        <v>815</v>
      </c>
      <c r="F47" s="5" t="s">
        <v>816</v>
      </c>
      <c r="G47" s="5" t="s">
        <v>817</v>
      </c>
      <c r="H47" s="5" t="s">
        <v>803</v>
      </c>
      <c r="I47" s="5" t="s">
        <v>491</v>
      </c>
      <c r="J47" s="5" t="s">
        <v>818</v>
      </c>
      <c r="K47" s="5" t="s">
        <v>819</v>
      </c>
      <c r="L47" s="5" t="s">
        <v>820</v>
      </c>
    </row>
    <row r="48" customFormat="false" ht="54" hidden="false" customHeight="true" outlineLevel="0" collapsed="false">
      <c r="A48" s="7" t="n">
        <v>44</v>
      </c>
      <c r="B48" s="7" t="s">
        <v>527</v>
      </c>
      <c r="C48" s="7" t="s">
        <v>798</v>
      </c>
      <c r="D48" s="7" t="s">
        <v>821</v>
      </c>
      <c r="E48" s="7" t="s">
        <v>822</v>
      </c>
      <c r="F48" s="7" t="s">
        <v>823</v>
      </c>
      <c r="G48" s="7" t="s">
        <v>824</v>
      </c>
      <c r="H48" s="7" t="s">
        <v>803</v>
      </c>
      <c r="I48" s="7" t="s">
        <v>491</v>
      </c>
      <c r="J48" s="7" t="s">
        <v>825</v>
      </c>
      <c r="K48" s="7" t="s">
        <v>826</v>
      </c>
      <c r="L48" s="7" t="s">
        <v>827</v>
      </c>
    </row>
    <row r="49" customFormat="false" ht="54" hidden="false" customHeight="true" outlineLevel="0" collapsed="false">
      <c r="A49" s="5" t="n">
        <v>45</v>
      </c>
      <c r="B49" s="5" t="s">
        <v>590</v>
      </c>
      <c r="C49" s="5" t="s">
        <v>798</v>
      </c>
      <c r="D49" s="5" t="s">
        <v>828</v>
      </c>
      <c r="E49" s="5" t="s">
        <v>803</v>
      </c>
      <c r="F49" s="5" t="s">
        <v>829</v>
      </c>
      <c r="G49" s="5" t="s">
        <v>803</v>
      </c>
      <c r="H49" s="5" t="s">
        <v>803</v>
      </c>
      <c r="I49" s="5" t="s">
        <v>491</v>
      </c>
      <c r="J49" s="5" t="s">
        <v>830</v>
      </c>
      <c r="K49" s="5" t="s">
        <v>831</v>
      </c>
      <c r="L49" s="5" t="s">
        <v>832</v>
      </c>
    </row>
    <row r="51" customFormat="false" ht="15" hidden="false" customHeight="false" outlineLevel="0" collapsed="false">
      <c r="A51" s="3" t="s">
        <v>833</v>
      </c>
      <c r="B51" s="3"/>
      <c r="C51" s="3"/>
    </row>
    <row r="52" customFormat="false" ht="15" hidden="false" customHeight="false" outlineLevel="0" collapsed="false">
      <c r="A52" s="15" t="s">
        <v>834</v>
      </c>
      <c r="B52" s="16" t="n">
        <f aca="false">COUNTA(D5:D49)</f>
        <v>45</v>
      </c>
      <c r="C52" s="16"/>
    </row>
    <row r="53" customFormat="false" ht="15" hidden="false" customHeight="false" outlineLevel="0" collapsed="false">
      <c r="A53" s="15" t="s">
        <v>835</v>
      </c>
      <c r="B53" s="16" t="n">
        <f aca="false">COUNTIF(B5:B49,"Tier-1")</f>
        <v>16</v>
      </c>
      <c r="C53" s="16"/>
    </row>
    <row r="54" customFormat="false" ht="15" hidden="false" customHeight="false" outlineLevel="0" collapsed="false">
      <c r="A54" s="15" t="s">
        <v>836</v>
      </c>
      <c r="B54" s="16" t="n">
        <f aca="false">COUNTIF(B5:B49,"Tier-2")</f>
        <v>20</v>
      </c>
      <c r="C54" s="16"/>
    </row>
    <row r="55" customFormat="false" ht="15" hidden="false" customHeight="false" outlineLevel="0" collapsed="false">
      <c r="A55" s="15" t="s">
        <v>837</v>
      </c>
      <c r="B55" s="16" t="n">
        <f aca="false">COUNTIF(B5:B49,"Tier-3")</f>
        <v>9</v>
      </c>
      <c r="C55" s="16"/>
    </row>
    <row r="56" customFormat="false" ht="15" hidden="false" customHeight="false" outlineLevel="0" collapsed="false">
      <c r="A56" s="15" t="s">
        <v>838</v>
      </c>
      <c r="B56" s="16" t="n">
        <f aca="false">COUNTIF(C5:C49,"YouTube")</f>
        <v>20</v>
      </c>
      <c r="C56" s="16"/>
    </row>
    <row r="57" customFormat="false" ht="15" hidden="false" customHeight="false" outlineLevel="0" collapsed="false">
      <c r="A57" s="15" t="s">
        <v>839</v>
      </c>
      <c r="B57" s="16" t="n">
        <f aca="false">COUNTIF(C5:C49,"LinkedIn")</f>
        <v>7</v>
      </c>
      <c r="C57" s="16"/>
    </row>
    <row r="58" customFormat="false" ht="15" hidden="false" customHeight="false" outlineLevel="0" collapsed="false">
      <c r="A58" s="15" t="s">
        <v>840</v>
      </c>
      <c r="B58" s="16" t="n">
        <f aca="false">COUNTIF(C5:C49,"Instagram")</f>
        <v>6</v>
      </c>
      <c r="C58" s="16"/>
    </row>
    <row r="59" customFormat="false" ht="15" hidden="false" customHeight="false" outlineLevel="0" collapsed="false">
      <c r="A59" s="15" t="s">
        <v>841</v>
      </c>
      <c r="B59" s="16" t="n">
        <f aca="false">COUNTIF(C5:C49,"TikTok")</f>
        <v>4</v>
      </c>
      <c r="C59" s="16"/>
    </row>
    <row r="60" customFormat="false" ht="15" hidden="false" customHeight="false" outlineLevel="0" collapsed="false">
      <c r="A60" s="15" t="s">
        <v>842</v>
      </c>
      <c r="B60" s="16" t="n">
        <f aca="false">COUNTIF(C5:C49,"Newsletter")</f>
        <v>3</v>
      </c>
      <c r="C60" s="16"/>
    </row>
    <row r="61" customFormat="false" ht="15" hidden="false" customHeight="false" outlineLevel="0" collapsed="false">
      <c r="A61" s="15" t="s">
        <v>843</v>
      </c>
      <c r="B61" s="16" t="n">
        <f aca="false">COUNTIF(C5:C49,"Topluluk")</f>
        <v>5</v>
      </c>
      <c r="C61" s="16"/>
    </row>
  </sheetData>
  <mergeCells count="13">
    <mergeCell ref="A1:L1"/>
    <mergeCell ref="A2:L2"/>
    <mergeCell ref="A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36"/>
    <col collapsed="false" customWidth="true" hidden="false" outlineLevel="0" max="4" min="4" style="0" width="38"/>
  </cols>
  <sheetData>
    <row r="1" customFormat="false" ht="19.7" hidden="false" customHeight="false" outlineLevel="0" collapsed="false">
      <c r="A1" s="1" t="s">
        <v>844</v>
      </c>
      <c r="B1" s="1"/>
      <c r="C1" s="1"/>
      <c r="D1" s="1"/>
    </row>
    <row r="2" customFormat="false" ht="43.5" hidden="false" customHeight="true" outlineLevel="0" collapsed="false">
      <c r="A2" s="2" t="s">
        <v>845</v>
      </c>
      <c r="B2" s="2"/>
      <c r="C2" s="2"/>
      <c r="D2" s="2"/>
    </row>
    <row r="4" customFormat="false" ht="15" hidden="false" customHeight="false" outlineLevel="0" collapsed="false">
      <c r="A4" s="6" t="s">
        <v>846</v>
      </c>
      <c r="B4" s="6" t="s">
        <v>847</v>
      </c>
      <c r="C4" s="6" t="s">
        <v>848</v>
      </c>
      <c r="D4" s="6" t="s">
        <v>849</v>
      </c>
    </row>
    <row r="5" customFormat="false" ht="180" hidden="false" customHeight="true" outlineLevel="0" collapsed="false">
      <c r="A5" s="17" t="s">
        <v>850</v>
      </c>
      <c r="B5" s="5" t="s">
        <v>851</v>
      </c>
      <c r="C5" s="5" t="s">
        <v>852</v>
      </c>
      <c r="D5" s="5" t="s">
        <v>853</v>
      </c>
    </row>
    <row r="6" customFormat="false" ht="180" hidden="false" customHeight="true" outlineLevel="0" collapsed="false">
      <c r="A6" s="7" t="s">
        <v>854</v>
      </c>
      <c r="B6" s="7" t="s">
        <v>855</v>
      </c>
      <c r="C6" s="7" t="s">
        <v>856</v>
      </c>
      <c r="D6" s="7" t="s">
        <v>857</v>
      </c>
    </row>
    <row r="7" customFormat="false" ht="180" hidden="false" customHeight="true" outlineLevel="0" collapsed="false">
      <c r="A7" s="17" t="s">
        <v>858</v>
      </c>
      <c r="B7" s="5" t="s">
        <v>859</v>
      </c>
      <c r="C7" s="5" t="s">
        <v>860</v>
      </c>
      <c r="D7" s="5" t="s">
        <v>861</v>
      </c>
    </row>
    <row r="8" customFormat="false" ht="180" hidden="false" customHeight="true" outlineLevel="0" collapsed="false">
      <c r="A8" s="7" t="s">
        <v>862</v>
      </c>
      <c r="B8" s="7" t="s">
        <v>863</v>
      </c>
      <c r="C8" s="7" t="s">
        <v>864</v>
      </c>
      <c r="D8" s="7" t="s">
        <v>865</v>
      </c>
    </row>
    <row r="9" customFormat="false" ht="180" hidden="false" customHeight="true" outlineLevel="0" collapsed="false">
      <c r="A9" s="17" t="s">
        <v>866</v>
      </c>
      <c r="B9" s="5" t="s">
        <v>867</v>
      </c>
      <c r="C9" s="5" t="s">
        <v>868</v>
      </c>
      <c r="D9" s="5" t="s">
        <v>869</v>
      </c>
    </row>
    <row r="10" customFormat="false" ht="180" hidden="false" customHeight="true" outlineLevel="0" collapsed="false">
      <c r="A10" s="7" t="s">
        <v>870</v>
      </c>
      <c r="B10" s="7" t="s">
        <v>871</v>
      </c>
      <c r="C10" s="7" t="s">
        <v>872</v>
      </c>
      <c r="D10" s="7" t="s">
        <v>873</v>
      </c>
    </row>
    <row r="11" customFormat="false" ht="180" hidden="false" customHeight="true" outlineLevel="0" collapsed="false">
      <c r="A11" s="17" t="s">
        <v>874</v>
      </c>
      <c r="B11" s="5" t="s">
        <v>875</v>
      </c>
      <c r="C11" s="5" t="s">
        <v>876</v>
      </c>
      <c r="D11" s="5" t="s">
        <v>877</v>
      </c>
    </row>
    <row r="12" customFormat="false" ht="180" hidden="false" customHeight="true" outlineLevel="0" collapsed="false">
      <c r="A12" s="7" t="s">
        <v>878</v>
      </c>
      <c r="B12" s="7" t="s">
        <v>879</v>
      </c>
      <c r="C12" s="7" t="s">
        <v>880</v>
      </c>
      <c r="D12" s="7" t="s">
        <v>881</v>
      </c>
    </row>
    <row r="13" customFormat="false" ht="180" hidden="false" customHeight="true" outlineLevel="0" collapsed="false">
      <c r="A13" s="17" t="s">
        <v>882</v>
      </c>
      <c r="B13" s="5" t="s">
        <v>883</v>
      </c>
      <c r="C13" s="5" t="s">
        <v>884</v>
      </c>
      <c r="D13" s="5" t="s">
        <v>885</v>
      </c>
    </row>
    <row r="14" customFormat="false" ht="180" hidden="false" customHeight="true" outlineLevel="0" collapsed="false">
      <c r="A14" s="7" t="s">
        <v>886</v>
      </c>
      <c r="B14" s="7" t="s">
        <v>887</v>
      </c>
      <c r="C14" s="7" t="s">
        <v>888</v>
      </c>
      <c r="D14" s="7" t="s">
        <v>889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890</v>
      </c>
      <c r="B1" s="1"/>
      <c r="C1" s="1"/>
      <c r="D1" s="1"/>
      <c r="E1" s="1"/>
      <c r="F1" s="1"/>
    </row>
    <row r="2" customFormat="false" ht="43.5" hidden="false" customHeight="true" outlineLevel="0" collapsed="false">
      <c r="A2" s="2" t="s">
        <v>891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18" t="s">
        <v>892</v>
      </c>
      <c r="B4" s="18"/>
      <c r="C4" s="18"/>
      <c r="D4" s="18"/>
      <c r="E4" s="18"/>
      <c r="F4" s="18"/>
    </row>
    <row r="5" customFormat="false" ht="26.85" hidden="false" customHeight="false" outlineLevel="0" collapsed="false">
      <c r="A5" s="6" t="s">
        <v>893</v>
      </c>
      <c r="B5" s="6" t="s">
        <v>894</v>
      </c>
      <c r="C5" s="6" t="s">
        <v>895</v>
      </c>
      <c r="D5" s="6" t="s">
        <v>896</v>
      </c>
      <c r="E5" s="6" t="s">
        <v>897</v>
      </c>
      <c r="F5" s="6" t="s">
        <v>898</v>
      </c>
    </row>
    <row r="6" customFormat="false" ht="33.75" hidden="false" customHeight="true" outlineLevel="0" collapsed="false">
      <c r="A6" s="5" t="s">
        <v>899</v>
      </c>
      <c r="B6" s="11" t="n">
        <v>8000</v>
      </c>
      <c r="C6" s="5" t="s">
        <v>900</v>
      </c>
      <c r="D6" s="11" t="n">
        <v>25000</v>
      </c>
      <c r="E6" s="5" t="s">
        <v>901</v>
      </c>
      <c r="F6" s="11" t="n">
        <v>60000</v>
      </c>
    </row>
    <row r="7" customFormat="false" ht="33.75" hidden="false" customHeight="true" outlineLevel="0" collapsed="false">
      <c r="A7" s="7" t="s">
        <v>902</v>
      </c>
      <c r="B7" s="12" t="n">
        <v>0</v>
      </c>
      <c r="C7" s="7" t="s">
        <v>903</v>
      </c>
      <c r="D7" s="12" t="n">
        <v>3000</v>
      </c>
      <c r="E7" s="7" t="s">
        <v>904</v>
      </c>
      <c r="F7" s="12" t="n">
        <v>10000</v>
      </c>
    </row>
    <row r="8" customFormat="false" ht="33.75" hidden="false" customHeight="true" outlineLevel="0" collapsed="false">
      <c r="A8" s="5" t="s">
        <v>905</v>
      </c>
      <c r="B8" s="11" t="n">
        <v>2000</v>
      </c>
      <c r="C8" s="5" t="s">
        <v>906</v>
      </c>
      <c r="D8" s="11" t="n">
        <v>8000</v>
      </c>
      <c r="E8" s="5" t="s">
        <v>907</v>
      </c>
      <c r="F8" s="11" t="n">
        <v>20000</v>
      </c>
    </row>
    <row r="9" customFormat="false" ht="33.75" hidden="false" customHeight="true" outlineLevel="0" collapsed="false">
      <c r="A9" s="7" t="s">
        <v>908</v>
      </c>
      <c r="B9" s="12" t="n">
        <v>3000</v>
      </c>
      <c r="C9" s="7" t="s">
        <v>909</v>
      </c>
      <c r="D9" s="12" t="n">
        <v>10000</v>
      </c>
      <c r="E9" s="7" t="s">
        <v>910</v>
      </c>
      <c r="F9" s="12" t="n">
        <v>30000</v>
      </c>
    </row>
    <row r="10" customFormat="false" ht="33.75" hidden="false" customHeight="true" outlineLevel="0" collapsed="false">
      <c r="A10" s="5" t="s">
        <v>911</v>
      </c>
      <c r="B10" s="11" t="n">
        <v>4000</v>
      </c>
      <c r="C10" s="5" t="s">
        <v>912</v>
      </c>
      <c r="D10" s="11" t="n">
        <v>12000</v>
      </c>
      <c r="E10" s="5" t="s">
        <v>913</v>
      </c>
      <c r="F10" s="11" t="n">
        <v>25000</v>
      </c>
    </row>
    <row r="11" customFormat="false" ht="33.75" hidden="false" customHeight="true" outlineLevel="0" collapsed="false">
      <c r="A11" s="7" t="s">
        <v>914</v>
      </c>
      <c r="B11" s="12" t="n">
        <v>2000</v>
      </c>
      <c r="C11" s="7" t="s">
        <v>915</v>
      </c>
      <c r="D11" s="12" t="n">
        <v>7000</v>
      </c>
      <c r="E11" s="7" t="s">
        <v>916</v>
      </c>
      <c r="F11" s="12" t="n">
        <v>18000</v>
      </c>
    </row>
    <row r="12" customFormat="false" ht="33.75" hidden="false" customHeight="true" outlineLevel="0" collapsed="false">
      <c r="A12" s="5" t="s">
        <v>917</v>
      </c>
      <c r="B12" s="11" t="n">
        <v>1500</v>
      </c>
      <c r="C12" s="5" t="s">
        <v>918</v>
      </c>
      <c r="D12" s="11" t="n">
        <v>3000</v>
      </c>
      <c r="E12" s="5" t="s">
        <v>919</v>
      </c>
      <c r="F12" s="11" t="n">
        <v>5000</v>
      </c>
    </row>
    <row r="13" customFormat="false" ht="33.75" hidden="false" customHeight="true" outlineLevel="0" collapsed="false">
      <c r="A13" s="7" t="s">
        <v>920</v>
      </c>
      <c r="B13" s="12" t="n">
        <v>0</v>
      </c>
      <c r="C13" s="7" t="s">
        <v>921</v>
      </c>
      <c r="D13" s="12" t="n">
        <v>4000</v>
      </c>
      <c r="E13" s="7" t="s">
        <v>922</v>
      </c>
      <c r="F13" s="12" t="n">
        <v>12000</v>
      </c>
    </row>
    <row r="14" customFormat="false" ht="33.75" hidden="false" customHeight="true" outlineLevel="0" collapsed="false">
      <c r="A14" s="5" t="s">
        <v>923</v>
      </c>
      <c r="B14" s="11" t="n">
        <v>1500</v>
      </c>
      <c r="C14" s="5" t="s">
        <v>924</v>
      </c>
      <c r="D14" s="11" t="n">
        <v>5000</v>
      </c>
      <c r="E14" s="5" t="s">
        <v>925</v>
      </c>
      <c r="F14" s="11" t="n">
        <v>10000</v>
      </c>
    </row>
    <row r="15" customFormat="false" ht="15" hidden="false" customHeight="false" outlineLevel="0" collapsed="false">
      <c r="A15" s="6" t="s">
        <v>926</v>
      </c>
      <c r="B15" s="19" t="n">
        <f aca="false">SUM(B6:B14)</f>
        <v>22000</v>
      </c>
      <c r="C15" s="20"/>
      <c r="D15" s="19" t="n">
        <f aca="false">SUM(D6:D14)</f>
        <v>77000</v>
      </c>
      <c r="E15" s="20"/>
      <c r="F15" s="19" t="n">
        <f aca="false">SUM(F6:F14)</f>
        <v>190000</v>
      </c>
    </row>
    <row r="17" customFormat="false" ht="15" hidden="false" customHeight="false" outlineLevel="0" collapsed="false">
      <c r="A17" s="3" t="s">
        <v>927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21" t="s">
        <v>928</v>
      </c>
      <c r="B18" s="22" t="n">
        <f aca="false">B15*12</f>
        <v>264000</v>
      </c>
    </row>
    <row r="19" customFormat="false" ht="15" hidden="false" customHeight="false" outlineLevel="0" collapsed="false">
      <c r="A19" s="21" t="s">
        <v>929</v>
      </c>
      <c r="B19" s="22" t="n">
        <f aca="false">D15*12</f>
        <v>924000</v>
      </c>
    </row>
    <row r="20" customFormat="false" ht="15" hidden="false" customHeight="false" outlineLevel="0" collapsed="false">
      <c r="A20" s="21" t="s">
        <v>930</v>
      </c>
      <c r="B20" s="22" t="n">
        <f aca="false">F15*12</f>
        <v>2280000</v>
      </c>
    </row>
    <row r="22" customFormat="false" ht="15" hidden="false" customHeight="false" outlineLevel="0" collapsed="false">
      <c r="A22" s="3" t="s">
        <v>931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6" t="s">
        <v>932</v>
      </c>
      <c r="B23" s="6" t="s">
        <v>933</v>
      </c>
      <c r="C23" s="6" t="s">
        <v>934</v>
      </c>
      <c r="D23" s="6" t="s">
        <v>935</v>
      </c>
      <c r="E23" s="6" t="s">
        <v>936</v>
      </c>
      <c r="F23" s="6" t="s">
        <v>937</v>
      </c>
    </row>
    <row r="24" customFormat="false" ht="21.75" hidden="false" customHeight="true" outlineLevel="0" collapsed="false">
      <c r="A24" s="5" t="s">
        <v>938</v>
      </c>
      <c r="B24" s="5" t="s">
        <v>939</v>
      </c>
      <c r="C24" s="11" t="n">
        <v>30</v>
      </c>
      <c r="D24" s="11" t="n">
        <v>120</v>
      </c>
      <c r="E24" s="11" t="n">
        <v>360</v>
      </c>
      <c r="F24" s="5" t="s">
        <v>940</v>
      </c>
    </row>
    <row r="25" customFormat="false" ht="21.75" hidden="false" customHeight="true" outlineLevel="0" collapsed="false">
      <c r="A25" s="7" t="s">
        <v>941</v>
      </c>
      <c r="B25" s="7" t="s">
        <v>942</v>
      </c>
      <c r="C25" s="12" t="n">
        <v>15</v>
      </c>
      <c r="D25" s="12" t="n">
        <v>60</v>
      </c>
      <c r="E25" s="12" t="n">
        <v>180</v>
      </c>
      <c r="F25" s="7" t="s">
        <v>943</v>
      </c>
    </row>
    <row r="26" customFormat="false" ht="21.75" hidden="false" customHeight="true" outlineLevel="0" collapsed="false">
      <c r="A26" s="5" t="s">
        <v>944</v>
      </c>
      <c r="B26" s="5" t="s">
        <v>945</v>
      </c>
      <c r="C26" s="11" t="n">
        <v>3</v>
      </c>
      <c r="D26" s="11" t="n">
        <v>12</v>
      </c>
      <c r="E26" s="11" t="n">
        <v>36</v>
      </c>
      <c r="F26" s="5" t="s">
        <v>946</v>
      </c>
    </row>
    <row r="27" customFormat="false" ht="21.75" hidden="false" customHeight="true" outlineLevel="0" collapsed="false">
      <c r="A27" s="7" t="s">
        <v>947</v>
      </c>
      <c r="B27" s="7" t="s">
        <v>948</v>
      </c>
      <c r="C27" s="12" t="n">
        <v>2000</v>
      </c>
      <c r="D27" s="12" t="n">
        <v>8000</v>
      </c>
      <c r="E27" s="12" t="n">
        <v>25000</v>
      </c>
      <c r="F27" s="7" t="s">
        <v>949</v>
      </c>
    </row>
    <row r="28" customFormat="false" ht="21.75" hidden="false" customHeight="true" outlineLevel="0" collapsed="false">
      <c r="A28" s="5" t="s">
        <v>950</v>
      </c>
      <c r="B28" s="5" t="s">
        <v>951</v>
      </c>
      <c r="C28" s="11" t="n">
        <v>20</v>
      </c>
      <c r="D28" s="11" t="n">
        <v>80</v>
      </c>
      <c r="E28" s="11" t="n">
        <v>240</v>
      </c>
      <c r="F28" s="5" t="s">
        <v>940</v>
      </c>
    </row>
    <row r="29" customFormat="false" ht="21.75" hidden="false" customHeight="true" outlineLevel="0" collapsed="false">
      <c r="A29" s="7" t="s">
        <v>952</v>
      </c>
      <c r="B29" s="7" t="s">
        <v>953</v>
      </c>
      <c r="C29" s="12" t="n">
        <v>80</v>
      </c>
      <c r="D29" s="12" t="n">
        <v>320</v>
      </c>
      <c r="E29" s="12" t="n">
        <v>1000</v>
      </c>
      <c r="F29" s="7" t="s">
        <v>954</v>
      </c>
    </row>
    <row r="30" customFormat="false" ht="21.75" hidden="false" customHeight="true" outlineLevel="0" collapsed="false">
      <c r="A30" s="5" t="s">
        <v>955</v>
      </c>
      <c r="B30" s="5" t="s">
        <v>953</v>
      </c>
      <c r="C30" s="11" t="n">
        <v>60</v>
      </c>
      <c r="D30" s="11" t="n">
        <v>240</v>
      </c>
      <c r="E30" s="11" t="n">
        <v>750</v>
      </c>
      <c r="F30" s="5" t="s">
        <v>956</v>
      </c>
    </row>
    <row r="31" customFormat="false" ht="21.75" hidden="false" customHeight="true" outlineLevel="0" collapsed="false">
      <c r="A31" s="7" t="s">
        <v>957</v>
      </c>
      <c r="B31" s="7" t="s">
        <v>958</v>
      </c>
      <c r="C31" s="12" t="n">
        <v>120</v>
      </c>
      <c r="D31" s="12" t="n">
        <v>480</v>
      </c>
      <c r="E31" s="12" t="n">
        <v>1500</v>
      </c>
      <c r="F31" s="7" t="s">
        <v>959</v>
      </c>
    </row>
    <row r="32" customFormat="false" ht="21.75" hidden="false" customHeight="true" outlineLevel="0" collapsed="false">
      <c r="A32" s="5" t="s">
        <v>79</v>
      </c>
      <c r="B32" s="5" t="s">
        <v>960</v>
      </c>
      <c r="C32" s="11" t="n">
        <v>25</v>
      </c>
      <c r="D32" s="11" t="n">
        <v>100</v>
      </c>
      <c r="E32" s="11" t="n">
        <v>300</v>
      </c>
      <c r="F32" s="5" t="s">
        <v>940</v>
      </c>
    </row>
    <row r="33" customFormat="false" ht="21.75" hidden="false" customHeight="true" outlineLevel="0" collapsed="false">
      <c r="A33" s="7" t="s">
        <v>961</v>
      </c>
      <c r="B33" s="7" t="s">
        <v>962</v>
      </c>
      <c r="C33" s="12" t="n">
        <v>0</v>
      </c>
      <c r="D33" s="12" t="n">
        <v>2</v>
      </c>
      <c r="E33" s="12" t="n">
        <v>6</v>
      </c>
      <c r="F33" s="7" t="s">
        <v>963</v>
      </c>
    </row>
    <row r="34" customFormat="false" ht="21.75" hidden="false" customHeight="true" outlineLevel="0" collapsed="false">
      <c r="A34" s="5" t="s">
        <v>87</v>
      </c>
      <c r="B34" s="5" t="s">
        <v>964</v>
      </c>
      <c r="C34" s="11" t="n">
        <v>1</v>
      </c>
      <c r="D34" s="11" t="n">
        <v>3</v>
      </c>
      <c r="E34" s="11" t="n">
        <v>9</v>
      </c>
      <c r="F34" s="5" t="s">
        <v>963</v>
      </c>
    </row>
  </sheetData>
  <mergeCells count="5">
    <mergeCell ref="A1:F1"/>
    <mergeCell ref="A2:F2"/>
    <mergeCell ref="A4:F4"/>
    <mergeCell ref="A17:F17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2026-04-20T21:32:24Z</dcterms:created>
  <dc:creator>openpyxl</dc:creator>
  <dc:description/>
  <dc:language>en-US</dc:language>
  <cp:lastModifiedBy/>
  <dcterms:modified xsi:type="dcterms:W3CDTF">2026-04-20T21:32:24Z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