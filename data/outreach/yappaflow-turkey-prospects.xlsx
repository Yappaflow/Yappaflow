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spects" sheetId="2" state="visible" r:id="rId4"/>
    <sheet name="By Category" sheetId="3" state="visible" r:id="rId5"/>
    <sheet name="Outreach Log" sheetId="4" state="visible" r:id="rId6"/>
  </sheets>
  <definedNames>
    <definedName function="false" hidden="true" localSheetId="1" name="_xlnm._FilterDatabase" vbProcedure="false">Prospects!$A$1:$M$39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<sst xmlns="http://schemas.openxmlformats.org/spreadsheetml/2006/main" count="416" uniqueCount="257">
  <si>
    <t xml:space="preserve">Yappaflow — Turkey Outreach Prospects</t>
  </si>
  <si>
    <t xml:space="preserve">Generated:</t>
  </si>
  <si>
    <t xml:space="preserve">2026-05-02 (scheduled task: yappaflow-find-contacts)</t>
  </si>
  <si>
    <t xml:space="preserve">Source:</t>
  </si>
  <si>
    <t xml:space="preserve">WebSearch over agency directories (TechBehemoths, Sortlist, Clutch, DesignRush, Shopify Partners, Webflow, IKAS partner blogs)</t>
  </si>
  <si>
    <t xml:space="preserve">Note for Yusuf:</t>
  </si>
  <si>
    <t xml:space="preserve">You said you wanted to send a reference file before this ran, but the scheduled task fired</t>
  </si>
  <si>
    <t xml:space="preserve">without you present. This workbook is a starter list — merge or diff against your file when</t>
  </si>
  <si>
    <t xml:space="preserve">you share it. Emails were not in the public results; 'Contact' column points to the contact</t>
  </si>
  <si>
    <t xml:space="preserve">page so you can pull the address with one click.</t>
  </si>
  <si>
    <t xml:space="preserve">Sheets:</t>
  </si>
  <si>
    <t xml:space="preserve">  • Prospects     — full list with category, city, fit reasoning, priority</t>
  </si>
  <si>
    <t xml:space="preserve">  • By Category   — pivot-style counts</t>
  </si>
  <si>
    <t xml:space="preserve">  • Outreach Log  — empty template for tracking sends/replies</t>
  </si>
  <si>
    <t xml:space="preserve">Priority key:</t>
  </si>
  <si>
    <t xml:space="preserve">  P0 = highest fit (IKAS partners, Shopify Plus partners, top Webflow agency)</t>
  </si>
  <si>
    <t xml:space="preserve">  P1 = strong fit (design-led shops, dual-platform partners)</t>
  </si>
  <si>
    <t xml:space="preserve">  P2 = secondary (broader digital / WordPress / general agencies)</t>
  </si>
  <si>
    <t xml:space="preserve">Why these are a fit:</t>
  </si>
  <si>
    <t xml:space="preserve">  Yappaflow turns agency conversations into shippable websites and ships SiteProject →</t>
  </si>
  <si>
    <t xml:space="preserve">  Shopify / Webflow / WordPress / IKAS adapters. IKAS partners are highest signal because</t>
  </si>
  <si>
    <t xml:space="preserve">  IKAS is Turkish-built and the platform Yappaflow's launch market most likely centers on.</t>
  </si>
  <si>
    <t xml:space="preserve">#</t>
  </si>
  <si>
    <t xml:space="preserve">Company</t>
  </si>
  <si>
    <t xml:space="preserve">Category</t>
  </si>
  <si>
    <t xml:space="preserve">City</t>
  </si>
  <si>
    <t xml:space="preserve">Website</t>
  </si>
  <si>
    <t xml:space="preserve">Contact</t>
  </si>
  <si>
    <t xml:space="preserve">Why fit</t>
  </si>
  <si>
    <t xml:space="preserve">Priority</t>
  </si>
  <si>
    <t xml:space="preserve">Status</t>
  </si>
  <si>
    <t xml:space="preserve">Owner</t>
  </si>
  <si>
    <t xml:space="preserve">Last contacted</t>
  </si>
  <si>
    <t xml:space="preserve">Next step</t>
  </si>
  <si>
    <t xml:space="preserve">Notes / Source</t>
  </si>
  <si>
    <t xml:space="preserve">YCF Digital</t>
  </si>
  <si>
    <t xml:space="preserve">IKAS Partner</t>
  </si>
  <si>
    <t xml:space="preserve">Istanbul</t>
  </si>
  <si>
    <t xml:space="preserve">ycfdigital.com</t>
  </si>
  <si>
    <t xml:space="preserve">ycfdigital.com/en/contact</t>
  </si>
  <si>
    <t xml:space="preserve">Official IKAS Partner; full-funnel store setup → ads. Direct overlap with SiteProject → IKAS adapter.</t>
  </si>
  <si>
    <t xml:space="preserve">P0</t>
  </si>
  <si>
    <t xml:space="preserve">Not started</t>
  </si>
  <si>
    <t xml:space="preserve">digimify</t>
  </si>
  <si>
    <t xml:space="preserve">digimify.com</t>
  </si>
  <si>
    <t xml:space="preserve">digimify.com/contact</t>
  </si>
  <si>
    <t xml:space="preserve">Verified IKAS migration/build partner, 8+ yrs e-commerce. Ideal early adopter for builder.</t>
  </si>
  <si>
    <t xml:space="preserve">Prix Studio</t>
  </si>
  <si>
    <t xml:space="preserve">IKAS + Shopify Partner</t>
  </si>
  <si>
    <t xml:space="preserve">prix-studio.com</t>
  </si>
  <si>
    <t xml:space="preserve">prix-studio.com/en/contact</t>
  </si>
  <si>
    <t xml:space="preserve">Dual IKAS + Shopify Plus partner; publishes 'best IKAS agencies' content — strong inbound channel.</t>
  </si>
  <si>
    <t xml:space="preserve">Creamake</t>
  </si>
  <si>
    <t xml:space="preserve">creamake.com</t>
  </si>
  <si>
    <t xml:space="preserve">creamake.com/iletisim</t>
  </si>
  <si>
    <t xml:space="preserve">Custom design + UI/UX focused IKAS storefronts. Likely to value AI design generation.</t>
  </si>
  <si>
    <t xml:space="preserve">prix-studio.com/en/blog/en-iyi-ikas-ajanslari</t>
  </si>
  <si>
    <t xml:space="preserve">Alis Dijital</t>
  </si>
  <si>
    <t xml:space="preserve">alisdijital.com</t>
  </si>
  <si>
    <t xml:space="preserve">alisdijital.com/iletisim</t>
  </si>
  <si>
    <t xml:space="preserve">Mixed IKAS/Shopify portfolio — perfect cross-CMS use case for Yappaflow.</t>
  </si>
  <si>
    <t xml:space="preserve">alisdijital.com/hizmetlerimiz/ikas-lisans-tasarim-hizmeti</t>
  </si>
  <si>
    <t xml:space="preserve">Artelio Creative</t>
  </si>
  <si>
    <t xml:space="preserve">arteliocreative.com</t>
  </si>
  <si>
    <t xml:space="preserve">arteliocreative.com/iletisim</t>
  </si>
  <si>
    <t xml:space="preserve">IKAS multilingual / multi-currency specialist; cross-border merchants.</t>
  </si>
  <si>
    <t xml:space="preserve">P1</t>
  </si>
  <si>
    <t xml:space="preserve">arteliocreative.com/ikas-kurulum</t>
  </si>
  <si>
    <t xml:space="preserve">Artnova Creative</t>
  </si>
  <si>
    <t xml:space="preserve">artnovacreative.com</t>
  </si>
  <si>
    <t xml:space="preserve">artnovacreative.com/iletisim</t>
  </si>
  <si>
    <t xml:space="preserve">IKAS setup + localization; international payments expertise.</t>
  </si>
  <si>
    <t xml:space="preserve">artnovacreative.com/ikas-kurulum</t>
  </si>
  <si>
    <t xml:space="preserve">Qreate Dijital</t>
  </si>
  <si>
    <t xml:space="preserve">IKAS Reseller</t>
  </si>
  <si>
    <t xml:space="preserve">qreatedijital.com</t>
  </si>
  <si>
    <t xml:space="preserve">qreatedijital.com/iletisim</t>
  </si>
  <si>
    <t xml:space="preserve">Authorized IKAS reseller — channel partnership angle.</t>
  </si>
  <si>
    <t xml:space="preserve">qreatedijital.com/ikas-kurulumu</t>
  </si>
  <si>
    <t xml:space="preserve">SEO Turuncu</t>
  </si>
  <si>
    <t xml:space="preserve">seoturuncu.com</t>
  </si>
  <si>
    <t xml:space="preserve">seoturuncu.com/iletisim</t>
  </si>
  <si>
    <t xml:space="preserve">IKAS partner agency with SEO-led positioning.</t>
  </si>
  <si>
    <t xml:space="preserve">seoturuncu.com/partner-ikas-ajansi</t>
  </si>
  <si>
    <t xml:space="preserve">Workuid</t>
  </si>
  <si>
    <t xml:space="preserve">workuid.com</t>
  </si>
  <si>
    <t xml:space="preserve">workuid.com/iletisim</t>
  </si>
  <si>
    <t xml:space="preserve">IKAS site setup + technical support; long-tail maintenance fit.</t>
  </si>
  <si>
    <t xml:space="preserve">P2</t>
  </si>
  <si>
    <t xml:space="preserve">workuid.com/ikas-eticaret-sitesi-kurulumu-ve-teknik-destek</t>
  </si>
  <si>
    <t xml:space="preserve">Mimoza Bilişim</t>
  </si>
  <si>
    <t xml:space="preserve">Ankara</t>
  </si>
  <si>
    <t xml:space="preserve">mimozabilisim.com</t>
  </si>
  <si>
    <t xml:space="preserve">mimozabilisim.com/iletisim</t>
  </si>
  <si>
    <t xml:space="preserve">IKAS partner positioning around AI automation — culturally aligned with Yappaflow story.</t>
  </si>
  <si>
    <t xml:space="preserve">mimozabilisim.com/ikas-partner</t>
  </si>
  <si>
    <t xml:space="preserve">Ajans Max</t>
  </si>
  <si>
    <t xml:space="preserve">ajansmax.com.tr</t>
  </si>
  <si>
    <t xml:space="preserve">ajansmax.com.tr/iletisim</t>
  </si>
  <si>
    <t xml:space="preserve">IKAS partner support + e-commerce solutions.</t>
  </si>
  <si>
    <t xml:space="preserve">ajansmax.com.tr/ikas</t>
  </si>
  <si>
    <t xml:space="preserve">Nodus Works</t>
  </si>
  <si>
    <t xml:space="preserve">Shopify Plus Partner</t>
  </si>
  <si>
    <t xml:space="preserve">nodusworks.com</t>
  </si>
  <si>
    <t xml:space="preserve">nodusworks.com/contact</t>
  </si>
  <si>
    <t xml:space="preserve">80+ Shopify/Plus projects; custom themes &amp; integrations. Prime for SiteProject → Shopify mapper.</t>
  </si>
  <si>
    <t xml:space="preserve">shopify.com/partners/directory/partner/nodusworks</t>
  </si>
  <si>
    <t xml:space="preserve">PATH Product &amp; Software House</t>
  </si>
  <si>
    <t xml:space="preserve">path.com.tr</t>
  </si>
  <si>
    <t xml:space="preserve">path.com.tr/contact</t>
  </si>
  <si>
    <t xml:space="preserve">Custom Shopify/Plus storefronts for SMB→enterprise.</t>
  </si>
  <si>
    <t xml:space="preserve">path.com.tr/shopify-development-and-consultancy</t>
  </si>
  <si>
    <t xml:space="preserve">Digital Pals</t>
  </si>
  <si>
    <t xml:space="preserve">digitalpals.com</t>
  </si>
  <si>
    <t xml:space="preserve">digitalpals.com/contact</t>
  </si>
  <si>
    <t xml:space="preserve">Luxury fashion Shopify Plus implementations — design-led brief profile.</t>
  </si>
  <si>
    <t xml:space="preserve">shopify.com/partners/directory/partner/digital-pals1</t>
  </si>
  <si>
    <t xml:space="preserve">Shopiuzman</t>
  </si>
  <si>
    <t xml:space="preserve">Shopify Specialist</t>
  </si>
  <si>
    <t xml:space="preserve">shopiuzman.com</t>
  </si>
  <si>
    <t xml:space="preserve">shopiuzman.com/iletisim</t>
  </si>
  <si>
    <t xml:space="preserve">Officially Shopify-certified, Shopify-only focus.</t>
  </si>
  <si>
    <t xml:space="preserve">shopify.com/partners/directory/partner/acil-creative</t>
  </si>
  <si>
    <t xml:space="preserve">Vi Agency</t>
  </si>
  <si>
    <t xml:space="preserve">Shopify Partner</t>
  </si>
  <si>
    <t xml:space="preserve">viagency.com.tr</t>
  </si>
  <si>
    <t xml:space="preserve">viagency.com.tr/iletisim</t>
  </si>
  <si>
    <t xml:space="preserve">Shopify Partners directory listing.</t>
  </si>
  <si>
    <t xml:space="preserve">shopify.com/partners/directory/partner/aci3</t>
  </si>
  <si>
    <t xml:space="preserve">DigiFist</t>
  </si>
  <si>
    <t xml:space="preserve">Shopify Premier Agency</t>
  </si>
  <si>
    <t xml:space="preserve">digifist.com</t>
  </si>
  <si>
    <t xml:space="preserve">digifist.com/contact</t>
  </si>
  <si>
    <t xml:space="preserve">Shopify Premier — design, dev, migration.</t>
  </si>
  <si>
    <t xml:space="preserve">designrush.com/agency/website-design-development/tr</t>
  </si>
  <si>
    <t xml:space="preserve">Pixelica Interactive</t>
  </si>
  <si>
    <t xml:space="preserve">Shopify Agency</t>
  </si>
  <si>
    <t xml:space="preserve">pixelicainteractive.com</t>
  </si>
  <si>
    <t xml:space="preserve">pixelicainteractive.com/contact</t>
  </si>
  <si>
    <t xml:space="preserve">Shopify + mobile + creative dev.</t>
  </si>
  <si>
    <t xml:space="preserve">Flowtrix</t>
  </si>
  <si>
    <t xml:space="preserve">Webflow Agency</t>
  </si>
  <si>
    <t xml:space="preserve">flowtrix.co</t>
  </si>
  <si>
    <t xml:space="preserve">flowtrix.co/contact</t>
  </si>
  <si>
    <t xml:space="preserve">Self-described #1 Webflow agency in Istanbul; B2B focus. Webflow adapter is on Yappaflow roadmap.</t>
  </si>
  <si>
    <t xml:space="preserve">flowtrix.co/location/istanbul</t>
  </si>
  <si>
    <t xml:space="preserve">Mustafa Ozalcin (rocknrollceomustafa)</t>
  </si>
  <si>
    <t xml:space="preserve">Freelance Webflow</t>
  </si>
  <si>
    <t xml:space="preserve">webflow.com/@rocknrollceomustafa</t>
  </si>
  <si>
    <t xml:space="preserve">Established Webflow profile; freelance/early-adopter persona.</t>
  </si>
  <si>
    <t xml:space="preserve">Ozge Keles</t>
  </si>
  <si>
    <t xml:space="preserve">Freelance Webflow Designer</t>
  </si>
  <si>
    <t xml:space="preserve">linkedin.com/in/ozgekeles</t>
  </si>
  <si>
    <t xml:space="preserve">Ankara-based Webflow designer; design-forward.</t>
  </si>
  <si>
    <t xml:space="preserve">Sortlist / Upwork mentions</t>
  </si>
  <si>
    <t xml:space="preserve">Zeo Agency</t>
  </si>
  <si>
    <t xml:space="preserve">Digital Marketing Agency</t>
  </si>
  <si>
    <t xml:space="preserve">zeoagency.com</t>
  </si>
  <si>
    <t xml:space="preserve">zeoagency.com/contact</t>
  </si>
  <si>
    <t xml:space="preserve">One of largest TR digital agencies; SEO/SEM/AI services. Multi-vertical brief volume.</t>
  </si>
  <si>
    <t xml:space="preserve">semrush.com/list/turkey</t>
  </si>
  <si>
    <t xml:space="preserve">Adverpeak</t>
  </si>
  <si>
    <t xml:space="preserve">Full-Service Digital</t>
  </si>
  <si>
    <t xml:space="preserve">adverpeak.com</t>
  </si>
  <si>
    <t xml:space="preserve">adverpeak.com/contact</t>
  </si>
  <si>
    <t xml:space="preserve">Web design + paid + GEO since 2010.</t>
  </si>
  <si>
    <t xml:space="preserve">designrush.com/agency/digital-marketing/tr</t>
  </si>
  <si>
    <t xml:space="preserve">Lein Digital</t>
  </si>
  <si>
    <t xml:space="preserve">Performance + Web Dev</t>
  </si>
  <si>
    <t xml:space="preserve">leindigital.com</t>
  </si>
  <si>
    <t xml:space="preserve">leindigital.com/contact</t>
  </si>
  <si>
    <t xml:space="preserve">Performance marketing + web dev; data-driven persona.</t>
  </si>
  <si>
    <t xml:space="preserve">Sortlist Istanbul listings</t>
  </si>
  <si>
    <t xml:space="preserve">Sakka Digital</t>
  </si>
  <si>
    <t xml:space="preserve">Digital Advertising Agency</t>
  </si>
  <si>
    <t xml:space="preserve">sakkadigital.com</t>
  </si>
  <si>
    <t xml:space="preserve">sakkadigital.com/iletisim</t>
  </si>
  <si>
    <t xml:space="preserve">Google + Meta partner; brand portfolio.</t>
  </si>
  <si>
    <t xml:space="preserve">DigitalAgencyNetwork Istanbul</t>
  </si>
  <si>
    <t xml:space="preserve">Wunderdogs</t>
  </si>
  <si>
    <t xml:space="preserve">Branding + Web Design</t>
  </si>
  <si>
    <t xml:space="preserve">wunderdogs.co</t>
  </si>
  <si>
    <t xml:space="preserve">wunderdogs.co/contact</t>
  </si>
  <si>
    <t xml:space="preserve">Brand + website design — design-led shop.</t>
  </si>
  <si>
    <t xml:space="preserve">Clutch / TechBehemoths</t>
  </si>
  <si>
    <t xml:space="preserve">Scope Digital</t>
  </si>
  <si>
    <t xml:space="preserve">Creative Digital Agency</t>
  </si>
  <si>
    <t xml:space="preserve">scopedigital.com.tr</t>
  </si>
  <si>
    <t xml:space="preserve">scopedigital.com.tr/iletisim</t>
  </si>
  <si>
    <t xml:space="preserve">5 yrs, hundreds of projects.</t>
  </si>
  <si>
    <t xml:space="preserve">TechBehemoths Istanbul</t>
  </si>
  <si>
    <t xml:space="preserve">Digitexa</t>
  </si>
  <si>
    <t xml:space="preserve">Web + Mobile Software</t>
  </si>
  <si>
    <t xml:space="preserve">digitexa.com</t>
  </si>
  <si>
    <t xml:space="preserve">digitexa.com/iletisim</t>
  </si>
  <si>
    <t xml:space="preserve">Web + middleware + mobile.</t>
  </si>
  <si>
    <t xml:space="preserve">Edvido Istanbul list</t>
  </si>
  <si>
    <t xml:space="preserve">FUHA</t>
  </si>
  <si>
    <t xml:space="preserve">Design Studio</t>
  </si>
  <si>
    <t xml:space="preserve">fuha.studio</t>
  </si>
  <si>
    <t xml:space="preserve">fuha.studio/contact</t>
  </si>
  <si>
    <t xml:space="preserve">Branding + digital products; design-quality bar likely high.</t>
  </si>
  <si>
    <t xml:space="preserve">Sentez Bilişim</t>
  </si>
  <si>
    <t xml:space="preserve">Web + Digital Marketing</t>
  </si>
  <si>
    <t xml:space="preserve">sentezbilisim.com</t>
  </si>
  <si>
    <t xml:space="preserve">sentezbilisim.com/iletisim</t>
  </si>
  <si>
    <t xml:space="preserve">Custom web design + WooCommerce/OpenCart + SEO.</t>
  </si>
  <si>
    <t xml:space="preserve">DesignRush Turkey</t>
  </si>
  <si>
    <t xml:space="preserve">Iktomi</t>
  </si>
  <si>
    <t xml:space="preserve">Web Design + Dev</t>
  </si>
  <si>
    <t xml:space="preserve">iktomi.com</t>
  </si>
  <si>
    <t xml:space="preserve">iktomi.com/contact</t>
  </si>
  <si>
    <t xml:space="preserve">Responsive + UI/UX + custom web dev.</t>
  </si>
  <si>
    <t xml:space="preserve">Clutch Istanbul</t>
  </si>
  <si>
    <t xml:space="preserve">Fireart Studio</t>
  </si>
  <si>
    <t xml:space="preserve">fireart.studio</t>
  </si>
  <si>
    <t xml:space="preserve">fireart.studio/contact</t>
  </si>
  <si>
    <t xml:space="preserve">UI/UX + responsive + custom dev.</t>
  </si>
  <si>
    <t xml:space="preserve">Studio Zeplin</t>
  </si>
  <si>
    <t xml:space="preserve">studiozeplin.com</t>
  </si>
  <si>
    <t xml:space="preserve">studiozeplin.com/iletisim</t>
  </si>
  <si>
    <t xml:space="preserve">Web design + branding + SEO in Ankara.</t>
  </si>
  <si>
    <t xml:space="preserve">Sortlist Ankara</t>
  </si>
  <si>
    <t xml:space="preserve">Dynaside Digital Solutions</t>
  </si>
  <si>
    <t xml:space="preserve">Web Projects Agency</t>
  </si>
  <si>
    <t xml:space="preserve">Izmir</t>
  </si>
  <si>
    <t xml:space="preserve">dynaside.com</t>
  </si>
  <si>
    <t xml:space="preserve">dynaside.com/iletisim</t>
  </si>
  <si>
    <t xml:space="preserve">High-budget web projects, national + intl.</t>
  </si>
  <si>
    <t xml:space="preserve">GoodFirms Izmir</t>
  </si>
  <si>
    <t xml:space="preserve">Wedevo</t>
  </si>
  <si>
    <t xml:space="preserve">Premium Web Design + Dev</t>
  </si>
  <si>
    <t xml:space="preserve">Istanbul / Izmir</t>
  </si>
  <si>
    <t xml:space="preserve">wedevo.com</t>
  </si>
  <si>
    <t xml:space="preserve">wedevo.com/iletisim</t>
  </si>
  <si>
    <t xml:space="preserve">Founded 2008; web design, dev, SEO.</t>
  </si>
  <si>
    <t xml:space="preserve">TechBehemoths Turkey</t>
  </si>
  <si>
    <t xml:space="preserve">SMDK Solutions</t>
  </si>
  <si>
    <t xml:space="preserve">Web Development</t>
  </si>
  <si>
    <t xml:space="preserve">smdksolutions.com</t>
  </si>
  <si>
    <t xml:space="preserve">smdksolutions.com/contact</t>
  </si>
  <si>
    <t xml:space="preserve">Web dev with regional service in Antalya/Ankara/Istanbul/Izmir/Bursa.</t>
  </si>
  <si>
    <t xml:space="preserve">smdksolutions.com/web-development</t>
  </si>
  <si>
    <t xml:space="preserve">Creatives Data</t>
  </si>
  <si>
    <t xml:space="preserve">E-commerce + Web</t>
  </si>
  <si>
    <t xml:space="preserve">creativesdata.com</t>
  </si>
  <si>
    <t xml:space="preserve">creativesdata.com/contact</t>
  </si>
  <si>
    <t xml:space="preserve">Tech company w/ e-commerce + web design.</t>
  </si>
  <si>
    <t xml:space="preserve">Count</t>
  </si>
  <si>
    <t xml:space="preserve">TOTAL</t>
  </si>
  <si>
    <t xml:space="preserve">Date</t>
  </si>
  <si>
    <t xml:space="preserve">Channel</t>
  </si>
  <si>
    <t xml:space="preserve">Contact person</t>
  </si>
  <si>
    <t xml:space="preserve">Subject</t>
  </si>
  <si>
    <t xml:space="preserve">Outcome</t>
  </si>
  <si>
    <t xml:space="preserve">Follow-up date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</si>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</sst>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52.9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26.8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2" t="s">
        <v>5</v>
      </c>
      <c r="B6" s="2"/>
    </row>
    <row r="7" customFormat="false" ht="52.2" hidden="false" customHeight="false" outlineLevel="0" collapsed="false">
      <c r="A7" s="2" t="s">
        <v>6</v>
      </c>
      <c r="B7" s="2"/>
    </row>
    <row r="8" customFormat="false" ht="52.2" hidden="false" customHeight="false" outlineLevel="0" collapsed="false">
      <c r="A8" s="2" t="s">
        <v>7</v>
      </c>
      <c r="B8" s="2"/>
    </row>
    <row r="9" customFormat="false" ht="39.55" hidden="false" customHeight="false" outlineLevel="0" collapsed="false">
      <c r="A9" s="2" t="s">
        <v>8</v>
      </c>
      <c r="B9" s="2"/>
    </row>
    <row r="10" customFormat="false" ht="26.85" hidden="false" customHeight="false" outlineLevel="0" collapsed="false">
      <c r="A10" s="2" t="s">
        <v>9</v>
      </c>
      <c r="B10" s="2"/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2" t="s">
        <v>10</v>
      </c>
      <c r="B12" s="2"/>
    </row>
    <row r="13" customFormat="false" ht="39.55" hidden="false" customHeight="false" outlineLevel="0" collapsed="false">
      <c r="A13" s="2" t="s">
        <v>11</v>
      </c>
      <c r="B13" s="2"/>
    </row>
    <row r="14" customFormat="false" ht="26.85" hidden="false" customHeight="false" outlineLevel="0" collapsed="false">
      <c r="A14" s="2" t="s">
        <v>12</v>
      </c>
      <c r="B14" s="2"/>
    </row>
    <row r="15" customFormat="false" ht="39.55" hidden="false" customHeight="false" outlineLevel="0" collapsed="false">
      <c r="A15" s="2" t="s">
        <v>13</v>
      </c>
      <c r="B15" s="2"/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 t="s">
        <v>14</v>
      </c>
      <c r="B17" s="2"/>
    </row>
    <row r="18" customFormat="false" ht="52.2" hidden="false" customHeight="false" outlineLevel="0" collapsed="false">
      <c r="A18" s="2" t="s">
        <v>15</v>
      </c>
      <c r="B18" s="2"/>
    </row>
    <row r="19" customFormat="false" ht="39.55" hidden="false" customHeight="false" outlineLevel="0" collapsed="false">
      <c r="A19" s="2" t="s">
        <v>16</v>
      </c>
      <c r="B19" s="2"/>
    </row>
    <row r="20" customFormat="false" ht="39.55" hidden="false" customHeight="false" outlineLevel="0" collapsed="false">
      <c r="A20" s="2" t="s">
        <v>17</v>
      </c>
      <c r="B20" s="2"/>
    </row>
    <row r="21" customFormat="false" ht="15" hidden="false" customHeight="false" outlineLevel="0" collapsed="false">
      <c r="A21" s="2"/>
      <c r="B21" s="2"/>
    </row>
    <row r="22" customFormat="false" ht="15" hidden="false" customHeight="false" outlineLevel="0" collapsed="false">
      <c r="A22" s="2" t="s">
        <v>18</v>
      </c>
      <c r="B22" s="2"/>
    </row>
    <row r="23" customFormat="false" ht="52.2" hidden="false" customHeight="false" outlineLevel="0" collapsed="false">
      <c r="A23" s="2" t="s">
        <v>19</v>
      </c>
      <c r="B23" s="2"/>
    </row>
    <row r="24" customFormat="false" ht="52.2" hidden="false" customHeight="false" outlineLevel="0" collapsed="false">
      <c r="A24" s="2" t="s">
        <v>20</v>
      </c>
      <c r="B24" s="2"/>
    </row>
    <row r="25" customFormat="false" ht="52.2" hidden="false" customHeight="false" outlineLevel="0" collapsed="false">
      <c r="A25" s="2" t="s">
        <v>21</v>
      </c>
      <c r="B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60"/>
    <col collapsed="false" customWidth="true" hidden="false" outlineLevel="0" max="8" min="8" style="0" width="9"/>
    <col collapsed="false" customWidth="true" hidden="false" outlineLevel="0" max="11" min="9" style="0" width="14"/>
    <col collapsed="false" customWidth="true" hidden="false" outlineLevel="0" max="12" min="12" style="0" width="24"/>
    <col collapsed="false" customWidth="true" hidden="false" outlineLevel="0" max="13" min="13" style="0" width="36"/>
  </cols>
  <sheetData>
    <row r="1" customFormat="false" ht="27.75" hidden="false" customHeight="true" outlineLevel="0" collapsed="false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 customFormat="false" ht="23.85" hidden="false" customHeight="false" outlineLevel="0" collapsed="false">
      <c r="A2" s="4" t="n">
        <v>1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/>
      <c r="K2" s="4"/>
      <c r="L2" s="4"/>
      <c r="M2" s="4" t="s">
        <v>38</v>
      </c>
    </row>
    <row r="3" customFormat="false" ht="23.85" hidden="false" customHeight="false" outlineLevel="0" collapsed="false">
      <c r="A3" s="4" t="n">
        <v>2</v>
      </c>
      <c r="B3" s="4" t="s">
        <v>43</v>
      </c>
      <c r="C3" s="4" t="s">
        <v>36</v>
      </c>
      <c r="D3" s="4" t="s">
        <v>37</v>
      </c>
      <c r="E3" s="4" t="s">
        <v>44</v>
      </c>
      <c r="F3" s="4" t="s">
        <v>45</v>
      </c>
      <c r="G3" s="4" t="s">
        <v>46</v>
      </c>
      <c r="H3" s="4" t="s">
        <v>41</v>
      </c>
      <c r="I3" s="4" t="s">
        <v>42</v>
      </c>
      <c r="J3" s="4"/>
      <c r="K3" s="4"/>
      <c r="L3" s="4"/>
      <c r="M3" s="4" t="s">
        <v>44</v>
      </c>
    </row>
    <row r="4" customFormat="false" ht="23.85" hidden="false" customHeight="false" outlineLevel="0" collapsed="false">
      <c r="A4" s="4" t="n">
        <v>3</v>
      </c>
      <c r="B4" s="4" t="s">
        <v>47</v>
      </c>
      <c r="C4" s="4" t="s">
        <v>48</v>
      </c>
      <c r="D4" s="4" t="s">
        <v>37</v>
      </c>
      <c r="E4" s="4" t="s">
        <v>49</v>
      </c>
      <c r="F4" s="4" t="s">
        <v>50</v>
      </c>
      <c r="G4" s="4" t="s">
        <v>51</v>
      </c>
      <c r="H4" s="4" t="s">
        <v>41</v>
      </c>
      <c r="I4" s="4" t="s">
        <v>42</v>
      </c>
      <c r="J4" s="4"/>
      <c r="K4" s="4"/>
      <c r="L4" s="4"/>
      <c r="M4" s="4" t="s">
        <v>49</v>
      </c>
    </row>
    <row r="5" customFormat="false" ht="23.85" hidden="false" customHeight="false" outlineLevel="0" collapsed="false">
      <c r="A5" s="4" t="n">
        <v>4</v>
      </c>
      <c r="B5" s="4" t="s">
        <v>52</v>
      </c>
      <c r="C5" s="4" t="s">
        <v>36</v>
      </c>
      <c r="D5" s="4" t="s">
        <v>37</v>
      </c>
      <c r="E5" s="4" t="s">
        <v>53</v>
      </c>
      <c r="F5" s="4" t="s">
        <v>54</v>
      </c>
      <c r="G5" s="4" t="s">
        <v>55</v>
      </c>
      <c r="H5" s="4" t="s">
        <v>41</v>
      </c>
      <c r="I5" s="4" t="s">
        <v>42</v>
      </c>
      <c r="J5" s="4"/>
      <c r="K5" s="4"/>
      <c r="L5" s="4"/>
      <c r="M5" s="4" t="s">
        <v>56</v>
      </c>
    </row>
    <row r="6" customFormat="false" ht="23.85" hidden="false" customHeight="false" outlineLevel="0" collapsed="false">
      <c r="A6" s="4" t="n">
        <v>5</v>
      </c>
      <c r="B6" s="4" t="s">
        <v>57</v>
      </c>
      <c r="C6" s="4" t="s">
        <v>48</v>
      </c>
      <c r="D6" s="4" t="s">
        <v>37</v>
      </c>
      <c r="E6" s="4" t="s">
        <v>58</v>
      </c>
      <c r="F6" s="4" t="s">
        <v>59</v>
      </c>
      <c r="G6" s="4" t="s">
        <v>60</v>
      </c>
      <c r="H6" s="4" t="s">
        <v>41</v>
      </c>
      <c r="I6" s="4" t="s">
        <v>42</v>
      </c>
      <c r="J6" s="4"/>
      <c r="K6" s="4"/>
      <c r="L6" s="4"/>
      <c r="M6" s="4" t="s">
        <v>61</v>
      </c>
    </row>
    <row r="7" customFormat="false" ht="15" hidden="false" customHeight="false" outlineLevel="0" collapsed="false">
      <c r="A7" s="4" t="n">
        <v>6</v>
      </c>
      <c r="B7" s="4" t="s">
        <v>62</v>
      </c>
      <c r="C7" s="4" t="s">
        <v>36</v>
      </c>
      <c r="D7" s="4" t="s">
        <v>37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42</v>
      </c>
      <c r="J7" s="4"/>
      <c r="K7" s="4"/>
      <c r="L7" s="4"/>
      <c r="M7" s="4" t="s">
        <v>67</v>
      </c>
    </row>
    <row r="8" customFormat="false" ht="15" hidden="false" customHeight="false" outlineLevel="0" collapsed="false">
      <c r="A8" s="4" t="n">
        <v>7</v>
      </c>
      <c r="B8" s="4" t="s">
        <v>68</v>
      </c>
      <c r="C8" s="4" t="s">
        <v>36</v>
      </c>
      <c r="D8" s="4" t="s">
        <v>37</v>
      </c>
      <c r="E8" s="4" t="s">
        <v>69</v>
      </c>
      <c r="F8" s="4" t="s">
        <v>70</v>
      </c>
      <c r="G8" s="4" t="s">
        <v>71</v>
      </c>
      <c r="H8" s="4" t="s">
        <v>66</v>
      </c>
      <c r="I8" s="4" t="s">
        <v>42</v>
      </c>
      <c r="J8" s="4"/>
      <c r="K8" s="4"/>
      <c r="L8" s="4"/>
      <c r="M8" s="4" t="s">
        <v>72</v>
      </c>
    </row>
    <row r="9" customFormat="false" ht="15" hidden="false" customHeight="false" outlineLevel="0" collapsed="false">
      <c r="A9" s="4" t="n">
        <v>8</v>
      </c>
      <c r="B9" s="4" t="s">
        <v>73</v>
      </c>
      <c r="C9" s="4" t="s">
        <v>74</v>
      </c>
      <c r="D9" s="4" t="s">
        <v>37</v>
      </c>
      <c r="E9" s="4" t="s">
        <v>75</v>
      </c>
      <c r="F9" s="4" t="s">
        <v>76</v>
      </c>
      <c r="G9" s="4" t="s">
        <v>77</v>
      </c>
      <c r="H9" s="4" t="s">
        <v>66</v>
      </c>
      <c r="I9" s="4" t="s">
        <v>42</v>
      </c>
      <c r="J9" s="4"/>
      <c r="K9" s="4"/>
      <c r="L9" s="4"/>
      <c r="M9" s="4" t="s">
        <v>78</v>
      </c>
    </row>
    <row r="10" customFormat="false" ht="15" hidden="false" customHeight="false" outlineLevel="0" collapsed="false">
      <c r="A10" s="4" t="n">
        <v>9</v>
      </c>
      <c r="B10" s="4" t="s">
        <v>79</v>
      </c>
      <c r="C10" s="4" t="s">
        <v>36</v>
      </c>
      <c r="D10" s="4" t="s">
        <v>37</v>
      </c>
      <c r="E10" s="4" t="s">
        <v>80</v>
      </c>
      <c r="F10" s="4" t="s">
        <v>81</v>
      </c>
      <c r="G10" s="4" t="s">
        <v>82</v>
      </c>
      <c r="H10" s="4" t="s">
        <v>66</v>
      </c>
      <c r="I10" s="4" t="s">
        <v>42</v>
      </c>
      <c r="J10" s="4"/>
      <c r="K10" s="4"/>
      <c r="L10" s="4"/>
      <c r="M10" s="4" t="s">
        <v>83</v>
      </c>
    </row>
    <row r="11" customFormat="false" ht="23.85" hidden="false" customHeight="false" outlineLevel="0" collapsed="false">
      <c r="A11" s="4" t="n">
        <v>10</v>
      </c>
      <c r="B11" s="4" t="s">
        <v>84</v>
      </c>
      <c r="C11" s="4" t="s">
        <v>36</v>
      </c>
      <c r="D11" s="4" t="s">
        <v>37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42</v>
      </c>
      <c r="J11" s="4"/>
      <c r="K11" s="4"/>
      <c r="L11" s="4"/>
      <c r="M11" s="4" t="s">
        <v>89</v>
      </c>
    </row>
    <row r="12" customFormat="false" ht="23.85" hidden="false" customHeight="false" outlineLevel="0" collapsed="false">
      <c r="A12" s="4" t="n">
        <v>11</v>
      </c>
      <c r="B12" s="4" t="s">
        <v>90</v>
      </c>
      <c r="C12" s="4" t="s">
        <v>36</v>
      </c>
      <c r="D12" s="4" t="s">
        <v>91</v>
      </c>
      <c r="E12" s="4" t="s">
        <v>92</v>
      </c>
      <c r="F12" s="4" t="s">
        <v>93</v>
      </c>
      <c r="G12" s="4" t="s">
        <v>94</v>
      </c>
      <c r="H12" s="4" t="s">
        <v>66</v>
      </c>
      <c r="I12" s="4" t="s">
        <v>42</v>
      </c>
      <c r="J12" s="4"/>
      <c r="K12" s="4"/>
      <c r="L12" s="4"/>
      <c r="M12" s="4" t="s">
        <v>95</v>
      </c>
    </row>
    <row r="13" customFormat="false" ht="15" hidden="false" customHeight="false" outlineLevel="0" collapsed="false">
      <c r="A13" s="4" t="n">
        <v>12</v>
      </c>
      <c r="B13" s="4" t="s">
        <v>96</v>
      </c>
      <c r="C13" s="4" t="s">
        <v>36</v>
      </c>
      <c r="D13" s="4" t="s">
        <v>37</v>
      </c>
      <c r="E13" s="4" t="s">
        <v>97</v>
      </c>
      <c r="F13" s="4" t="s">
        <v>98</v>
      </c>
      <c r="G13" s="4" t="s">
        <v>99</v>
      </c>
      <c r="H13" s="4" t="s">
        <v>88</v>
      </c>
      <c r="I13" s="4" t="s">
        <v>42</v>
      </c>
      <c r="J13" s="4"/>
      <c r="K13" s="4"/>
      <c r="L13" s="4"/>
      <c r="M13" s="4" t="s">
        <v>100</v>
      </c>
    </row>
    <row r="14" customFormat="false" ht="23.85" hidden="false" customHeight="false" outlineLevel="0" collapsed="false">
      <c r="A14" s="4" t="n">
        <v>13</v>
      </c>
      <c r="B14" s="4" t="s">
        <v>101</v>
      </c>
      <c r="C14" s="4" t="s">
        <v>102</v>
      </c>
      <c r="D14" s="4" t="s">
        <v>37</v>
      </c>
      <c r="E14" s="4" t="s">
        <v>103</v>
      </c>
      <c r="F14" s="4" t="s">
        <v>104</v>
      </c>
      <c r="G14" s="4" t="s">
        <v>105</v>
      </c>
      <c r="H14" s="4" t="s">
        <v>41</v>
      </c>
      <c r="I14" s="4" t="s">
        <v>42</v>
      </c>
      <c r="J14" s="4"/>
      <c r="K14" s="4"/>
      <c r="L14" s="4"/>
      <c r="M14" s="4" t="s">
        <v>106</v>
      </c>
    </row>
    <row r="15" customFormat="false" ht="23.85" hidden="false" customHeight="false" outlineLevel="0" collapsed="false">
      <c r="A15" s="4" t="n">
        <v>14</v>
      </c>
      <c r="B15" s="4" t="s">
        <v>107</v>
      </c>
      <c r="C15" s="4" t="s">
        <v>102</v>
      </c>
      <c r="D15" s="4" t="s">
        <v>37</v>
      </c>
      <c r="E15" s="4" t="s">
        <v>108</v>
      </c>
      <c r="F15" s="4" t="s">
        <v>109</v>
      </c>
      <c r="G15" s="4" t="s">
        <v>110</v>
      </c>
      <c r="H15" s="4" t="s">
        <v>41</v>
      </c>
      <c r="I15" s="4" t="s">
        <v>42</v>
      </c>
      <c r="J15" s="4"/>
      <c r="K15" s="4"/>
      <c r="L15" s="4"/>
      <c r="M15" s="4" t="s">
        <v>111</v>
      </c>
    </row>
    <row r="16" customFormat="false" ht="23.85" hidden="false" customHeight="false" outlineLevel="0" collapsed="false">
      <c r="A16" s="4" t="n">
        <v>15</v>
      </c>
      <c r="B16" s="4" t="s">
        <v>112</v>
      </c>
      <c r="C16" s="4" t="s">
        <v>102</v>
      </c>
      <c r="D16" s="4" t="s">
        <v>37</v>
      </c>
      <c r="E16" s="4" t="s">
        <v>113</v>
      </c>
      <c r="F16" s="4" t="s">
        <v>114</v>
      </c>
      <c r="G16" s="4" t="s">
        <v>115</v>
      </c>
      <c r="H16" s="4" t="s">
        <v>41</v>
      </c>
      <c r="I16" s="4" t="s">
        <v>42</v>
      </c>
      <c r="J16" s="4"/>
      <c r="K16" s="4"/>
      <c r="L16" s="4"/>
      <c r="M16" s="4" t="s">
        <v>116</v>
      </c>
    </row>
    <row r="17" customFormat="false" ht="23.85" hidden="false" customHeight="false" outlineLevel="0" collapsed="false">
      <c r="A17" s="4" t="n">
        <v>16</v>
      </c>
      <c r="B17" s="4" t="s">
        <v>117</v>
      </c>
      <c r="C17" s="4" t="s">
        <v>118</v>
      </c>
      <c r="D17" s="4" t="s">
        <v>37</v>
      </c>
      <c r="E17" s="4" t="s">
        <v>119</v>
      </c>
      <c r="F17" s="4" t="s">
        <v>120</v>
      </c>
      <c r="G17" s="4" t="s">
        <v>121</v>
      </c>
      <c r="H17" s="4" t="s">
        <v>66</v>
      </c>
      <c r="I17" s="4" t="s">
        <v>42</v>
      </c>
      <c r="J17" s="4"/>
      <c r="K17" s="4"/>
      <c r="L17" s="4"/>
      <c r="M17" s="4" t="s">
        <v>122</v>
      </c>
    </row>
    <row r="18" customFormat="false" ht="15" hidden="false" customHeight="false" outlineLevel="0" collapsed="false">
      <c r="A18" s="4" t="n">
        <v>17</v>
      </c>
      <c r="B18" s="4" t="s">
        <v>123</v>
      </c>
      <c r="C18" s="4" t="s">
        <v>124</v>
      </c>
      <c r="D18" s="4" t="s">
        <v>37</v>
      </c>
      <c r="E18" s="4" t="s">
        <v>125</v>
      </c>
      <c r="F18" s="4" t="s">
        <v>126</v>
      </c>
      <c r="G18" s="4" t="s">
        <v>127</v>
      </c>
      <c r="H18" s="4" t="s">
        <v>88</v>
      </c>
      <c r="I18" s="4" t="s">
        <v>42</v>
      </c>
      <c r="J18" s="4"/>
      <c r="K18" s="4"/>
      <c r="L18" s="4"/>
      <c r="M18" s="4" t="s">
        <v>128</v>
      </c>
    </row>
    <row r="19" customFormat="false" ht="23.85" hidden="false" customHeight="false" outlineLevel="0" collapsed="false">
      <c r="A19" s="4" t="n">
        <v>18</v>
      </c>
      <c r="B19" s="4" t="s">
        <v>129</v>
      </c>
      <c r="C19" s="4" t="s">
        <v>130</v>
      </c>
      <c r="D19" s="4" t="s">
        <v>37</v>
      </c>
      <c r="E19" s="4" t="s">
        <v>131</v>
      </c>
      <c r="F19" s="4" t="s">
        <v>132</v>
      </c>
      <c r="G19" s="4" t="s">
        <v>133</v>
      </c>
      <c r="H19" s="4" t="s">
        <v>41</v>
      </c>
      <c r="I19" s="4" t="s">
        <v>42</v>
      </c>
      <c r="J19" s="4"/>
      <c r="K19" s="4"/>
      <c r="L19" s="4"/>
      <c r="M19" s="4" t="s">
        <v>134</v>
      </c>
    </row>
    <row r="20" customFormat="false" ht="23.85" hidden="false" customHeight="false" outlineLevel="0" collapsed="false">
      <c r="A20" s="4" t="n">
        <v>19</v>
      </c>
      <c r="B20" s="4" t="s">
        <v>135</v>
      </c>
      <c r="C20" s="4" t="s">
        <v>136</v>
      </c>
      <c r="D20" s="4" t="s">
        <v>37</v>
      </c>
      <c r="E20" s="4" t="s">
        <v>137</v>
      </c>
      <c r="F20" s="4" t="s">
        <v>138</v>
      </c>
      <c r="G20" s="4" t="s">
        <v>139</v>
      </c>
      <c r="H20" s="4" t="s">
        <v>66</v>
      </c>
      <c r="I20" s="4" t="s">
        <v>42</v>
      </c>
      <c r="J20" s="4"/>
      <c r="K20" s="4"/>
      <c r="L20" s="4"/>
      <c r="M20" s="4" t="s">
        <v>134</v>
      </c>
    </row>
    <row r="21" customFormat="false" ht="23.85" hidden="false" customHeight="false" outlineLevel="0" collapsed="false">
      <c r="A21" s="4" t="n">
        <v>20</v>
      </c>
      <c r="B21" s="4" t="s">
        <v>140</v>
      </c>
      <c r="C21" s="4" t="s">
        <v>141</v>
      </c>
      <c r="D21" s="4" t="s">
        <v>37</v>
      </c>
      <c r="E21" s="4" t="s">
        <v>142</v>
      </c>
      <c r="F21" s="4" t="s">
        <v>143</v>
      </c>
      <c r="G21" s="4" t="s">
        <v>144</v>
      </c>
      <c r="H21" s="4" t="s">
        <v>41</v>
      </c>
      <c r="I21" s="4" t="s">
        <v>42</v>
      </c>
      <c r="J21" s="4"/>
      <c r="K21" s="4"/>
      <c r="L21" s="4"/>
      <c r="M21" s="4" t="s">
        <v>145</v>
      </c>
    </row>
    <row r="22" customFormat="false" ht="23.85" hidden="false" customHeight="false" outlineLevel="0" collapsed="false">
      <c r="A22" s="4" t="n">
        <v>21</v>
      </c>
      <c r="B22" s="4" t="s">
        <v>146</v>
      </c>
      <c r="C22" s="4" t="s">
        <v>147</v>
      </c>
      <c r="D22" s="4" t="s">
        <v>37</v>
      </c>
      <c r="E22" s="4" t="s">
        <v>148</v>
      </c>
      <c r="F22" s="4" t="s">
        <v>148</v>
      </c>
      <c r="G22" s="4" t="s">
        <v>149</v>
      </c>
      <c r="H22" s="4" t="s">
        <v>88</v>
      </c>
      <c r="I22" s="4" t="s">
        <v>42</v>
      </c>
      <c r="J22" s="4"/>
      <c r="K22" s="4"/>
      <c r="L22" s="4"/>
      <c r="M22" s="4" t="s">
        <v>148</v>
      </c>
    </row>
    <row r="23" customFormat="false" ht="23.85" hidden="false" customHeight="false" outlineLevel="0" collapsed="false">
      <c r="A23" s="4" t="n">
        <v>22</v>
      </c>
      <c r="B23" s="4" t="s">
        <v>150</v>
      </c>
      <c r="C23" s="4" t="s">
        <v>151</v>
      </c>
      <c r="D23" s="4" t="s">
        <v>91</v>
      </c>
      <c r="E23" s="4" t="s">
        <v>152</v>
      </c>
      <c r="F23" s="4" t="s">
        <v>152</v>
      </c>
      <c r="G23" s="4" t="s">
        <v>153</v>
      </c>
      <c r="H23" s="4" t="s">
        <v>88</v>
      </c>
      <c r="I23" s="4" t="s">
        <v>42</v>
      </c>
      <c r="J23" s="4"/>
      <c r="K23" s="4"/>
      <c r="L23" s="4"/>
      <c r="M23" s="4" t="s">
        <v>154</v>
      </c>
    </row>
    <row r="24" customFormat="false" ht="23.85" hidden="false" customHeight="false" outlineLevel="0" collapsed="false">
      <c r="A24" s="4" t="n">
        <v>23</v>
      </c>
      <c r="B24" s="4" t="s">
        <v>155</v>
      </c>
      <c r="C24" s="4" t="s">
        <v>156</v>
      </c>
      <c r="D24" s="4" t="s">
        <v>37</v>
      </c>
      <c r="E24" s="4" t="s">
        <v>157</v>
      </c>
      <c r="F24" s="4" t="s">
        <v>158</v>
      </c>
      <c r="G24" s="4" t="s">
        <v>159</v>
      </c>
      <c r="H24" s="4" t="s">
        <v>66</v>
      </c>
      <c r="I24" s="4" t="s">
        <v>42</v>
      </c>
      <c r="J24" s="4"/>
      <c r="K24" s="4"/>
      <c r="L24" s="4"/>
      <c r="M24" s="4" t="s">
        <v>160</v>
      </c>
    </row>
    <row r="25" customFormat="false" ht="15" hidden="false" customHeight="false" outlineLevel="0" collapsed="false">
      <c r="A25" s="4" t="n">
        <v>24</v>
      </c>
      <c r="B25" s="4" t="s">
        <v>161</v>
      </c>
      <c r="C25" s="4" t="s">
        <v>162</v>
      </c>
      <c r="D25" s="4" t="s">
        <v>37</v>
      </c>
      <c r="E25" s="4" t="s">
        <v>163</v>
      </c>
      <c r="F25" s="4" t="s">
        <v>164</v>
      </c>
      <c r="G25" s="4" t="s">
        <v>165</v>
      </c>
      <c r="H25" s="4" t="s">
        <v>88</v>
      </c>
      <c r="I25" s="4" t="s">
        <v>42</v>
      </c>
      <c r="J25" s="4"/>
      <c r="K25" s="4"/>
      <c r="L25" s="4"/>
      <c r="M25" s="4" t="s">
        <v>166</v>
      </c>
    </row>
    <row r="26" customFormat="false" ht="15" hidden="false" customHeight="false" outlineLevel="0" collapsed="false">
      <c r="A26" s="4" t="n">
        <v>25</v>
      </c>
      <c r="B26" s="4" t="s">
        <v>167</v>
      </c>
      <c r="C26" s="4" t="s">
        <v>168</v>
      </c>
      <c r="D26" s="4" t="s">
        <v>37</v>
      </c>
      <c r="E26" s="4" t="s">
        <v>169</v>
      </c>
      <c r="F26" s="4" t="s">
        <v>170</v>
      </c>
      <c r="G26" s="4" t="s">
        <v>171</v>
      </c>
      <c r="H26" s="4" t="s">
        <v>66</v>
      </c>
      <c r="I26" s="4" t="s">
        <v>42</v>
      </c>
      <c r="J26" s="4"/>
      <c r="K26" s="4"/>
      <c r="L26" s="4"/>
      <c r="M26" s="4" t="s">
        <v>172</v>
      </c>
    </row>
    <row r="27" customFormat="false" ht="15" hidden="false" customHeight="false" outlineLevel="0" collapsed="false">
      <c r="A27" s="4" t="n">
        <v>26</v>
      </c>
      <c r="B27" s="4" t="s">
        <v>173</v>
      </c>
      <c r="C27" s="4" t="s">
        <v>174</v>
      </c>
      <c r="D27" s="4" t="s">
        <v>37</v>
      </c>
      <c r="E27" s="4" t="s">
        <v>175</v>
      </c>
      <c r="F27" s="4" t="s">
        <v>176</v>
      </c>
      <c r="G27" s="4" t="s">
        <v>177</v>
      </c>
      <c r="H27" s="4" t="s">
        <v>88</v>
      </c>
      <c r="I27" s="4" t="s">
        <v>42</v>
      </c>
      <c r="J27" s="4"/>
      <c r="K27" s="4"/>
      <c r="L27" s="4"/>
      <c r="M27" s="4" t="s">
        <v>178</v>
      </c>
    </row>
    <row r="28" customFormat="false" ht="15" hidden="false" customHeight="false" outlineLevel="0" collapsed="false">
      <c r="A28" s="4" t="n">
        <v>27</v>
      </c>
      <c r="B28" s="4" t="s">
        <v>179</v>
      </c>
      <c r="C28" s="4" t="s">
        <v>180</v>
      </c>
      <c r="D28" s="4" t="s">
        <v>37</v>
      </c>
      <c r="E28" s="4" t="s">
        <v>181</v>
      </c>
      <c r="F28" s="4" t="s">
        <v>182</v>
      </c>
      <c r="G28" s="4" t="s">
        <v>183</v>
      </c>
      <c r="H28" s="4" t="s">
        <v>66</v>
      </c>
      <c r="I28" s="4" t="s">
        <v>42</v>
      </c>
      <c r="J28" s="4"/>
      <c r="K28" s="4"/>
      <c r="L28" s="4"/>
      <c r="M28" s="4" t="s">
        <v>184</v>
      </c>
    </row>
    <row r="29" customFormat="false" ht="15" hidden="false" customHeight="false" outlineLevel="0" collapsed="false">
      <c r="A29" s="4" t="n">
        <v>28</v>
      </c>
      <c r="B29" s="4" t="s">
        <v>185</v>
      </c>
      <c r="C29" s="4" t="s">
        <v>186</v>
      </c>
      <c r="D29" s="4" t="s">
        <v>37</v>
      </c>
      <c r="E29" s="4" t="s">
        <v>187</v>
      </c>
      <c r="F29" s="4" t="s">
        <v>188</v>
      </c>
      <c r="G29" s="4" t="s">
        <v>189</v>
      </c>
      <c r="H29" s="4" t="s">
        <v>88</v>
      </c>
      <c r="I29" s="4" t="s">
        <v>42</v>
      </c>
      <c r="J29" s="4"/>
      <c r="K29" s="4"/>
      <c r="L29" s="4"/>
      <c r="M29" s="4" t="s">
        <v>190</v>
      </c>
    </row>
    <row r="30" customFormat="false" ht="15" hidden="false" customHeight="false" outlineLevel="0" collapsed="false">
      <c r="A30" s="4" t="n">
        <v>29</v>
      </c>
      <c r="B30" s="4" t="s">
        <v>191</v>
      </c>
      <c r="C30" s="4" t="s">
        <v>192</v>
      </c>
      <c r="D30" s="4" t="s">
        <v>37</v>
      </c>
      <c r="E30" s="4" t="s">
        <v>193</v>
      </c>
      <c r="F30" s="4" t="s">
        <v>194</v>
      </c>
      <c r="G30" s="4" t="s">
        <v>195</v>
      </c>
      <c r="H30" s="4" t="s">
        <v>88</v>
      </c>
      <c r="I30" s="4" t="s">
        <v>42</v>
      </c>
      <c r="J30" s="4"/>
      <c r="K30" s="4"/>
      <c r="L30" s="4"/>
      <c r="M30" s="4" t="s">
        <v>196</v>
      </c>
    </row>
    <row r="31" customFormat="false" ht="15" hidden="false" customHeight="false" outlineLevel="0" collapsed="false">
      <c r="A31" s="4" t="n">
        <v>30</v>
      </c>
      <c r="B31" s="4" t="s">
        <v>197</v>
      </c>
      <c r="C31" s="4" t="s">
        <v>198</v>
      </c>
      <c r="D31" s="4" t="s">
        <v>37</v>
      </c>
      <c r="E31" s="4" t="s">
        <v>199</v>
      </c>
      <c r="F31" s="4" t="s">
        <v>200</v>
      </c>
      <c r="G31" s="4" t="s">
        <v>201</v>
      </c>
      <c r="H31" s="4" t="s">
        <v>66</v>
      </c>
      <c r="I31" s="4" t="s">
        <v>42</v>
      </c>
      <c r="J31" s="4"/>
      <c r="K31" s="4"/>
      <c r="L31" s="4"/>
      <c r="M31" s="4" t="s">
        <v>196</v>
      </c>
    </row>
    <row r="32" customFormat="false" ht="15" hidden="false" customHeight="false" outlineLevel="0" collapsed="false">
      <c r="A32" s="4" t="n">
        <v>31</v>
      </c>
      <c r="B32" s="4" t="s">
        <v>202</v>
      </c>
      <c r="C32" s="4" t="s">
        <v>203</v>
      </c>
      <c r="D32" s="4" t="s">
        <v>37</v>
      </c>
      <c r="E32" s="4" t="s">
        <v>204</v>
      </c>
      <c r="F32" s="4" t="s">
        <v>205</v>
      </c>
      <c r="G32" s="4" t="s">
        <v>206</v>
      </c>
      <c r="H32" s="4" t="s">
        <v>88</v>
      </c>
      <c r="I32" s="4" t="s">
        <v>42</v>
      </c>
      <c r="J32" s="4"/>
      <c r="K32" s="4"/>
      <c r="L32" s="4"/>
      <c r="M32" s="4" t="s">
        <v>207</v>
      </c>
    </row>
    <row r="33" customFormat="false" ht="15" hidden="false" customHeight="false" outlineLevel="0" collapsed="false">
      <c r="A33" s="4" t="n">
        <v>32</v>
      </c>
      <c r="B33" s="4" t="s">
        <v>208</v>
      </c>
      <c r="C33" s="4" t="s">
        <v>209</v>
      </c>
      <c r="D33" s="4" t="s">
        <v>37</v>
      </c>
      <c r="E33" s="4" t="s">
        <v>210</v>
      </c>
      <c r="F33" s="4" t="s">
        <v>211</v>
      </c>
      <c r="G33" s="4" t="s">
        <v>212</v>
      </c>
      <c r="H33" s="4" t="s">
        <v>88</v>
      </c>
      <c r="I33" s="4" t="s">
        <v>42</v>
      </c>
      <c r="J33" s="4"/>
      <c r="K33" s="4"/>
      <c r="L33" s="4"/>
      <c r="M33" s="4" t="s">
        <v>213</v>
      </c>
    </row>
    <row r="34" customFormat="false" ht="15" hidden="false" customHeight="false" outlineLevel="0" collapsed="false">
      <c r="A34" s="4" t="n">
        <v>33</v>
      </c>
      <c r="B34" s="4" t="s">
        <v>214</v>
      </c>
      <c r="C34" s="4" t="s">
        <v>209</v>
      </c>
      <c r="D34" s="4" t="s">
        <v>37</v>
      </c>
      <c r="E34" s="4" t="s">
        <v>215</v>
      </c>
      <c r="F34" s="4" t="s">
        <v>216</v>
      </c>
      <c r="G34" s="4" t="s">
        <v>217</v>
      </c>
      <c r="H34" s="4" t="s">
        <v>88</v>
      </c>
      <c r="I34" s="4" t="s">
        <v>42</v>
      </c>
      <c r="J34" s="4"/>
      <c r="K34" s="4"/>
      <c r="L34" s="4"/>
      <c r="M34" s="4" t="s">
        <v>213</v>
      </c>
    </row>
    <row r="35" customFormat="false" ht="15" hidden="false" customHeight="false" outlineLevel="0" collapsed="false">
      <c r="A35" s="4" t="n">
        <v>34</v>
      </c>
      <c r="B35" s="4" t="s">
        <v>218</v>
      </c>
      <c r="C35" s="4" t="s">
        <v>186</v>
      </c>
      <c r="D35" s="4" t="s">
        <v>91</v>
      </c>
      <c r="E35" s="4" t="s">
        <v>219</v>
      </c>
      <c r="F35" s="4" t="s">
        <v>220</v>
      </c>
      <c r="G35" s="4" t="s">
        <v>221</v>
      </c>
      <c r="H35" s="4" t="s">
        <v>88</v>
      </c>
      <c r="I35" s="4" t="s">
        <v>42</v>
      </c>
      <c r="J35" s="4"/>
      <c r="K35" s="4"/>
      <c r="L35" s="4"/>
      <c r="M35" s="4" t="s">
        <v>222</v>
      </c>
    </row>
    <row r="36" customFormat="false" ht="15" hidden="false" customHeight="false" outlineLevel="0" collapsed="false">
      <c r="A36" s="4" t="n">
        <v>35</v>
      </c>
      <c r="B36" s="4" t="s">
        <v>223</v>
      </c>
      <c r="C36" s="4" t="s">
        <v>224</v>
      </c>
      <c r="D36" s="4" t="s">
        <v>225</v>
      </c>
      <c r="E36" s="4" t="s">
        <v>226</v>
      </c>
      <c r="F36" s="4" t="s">
        <v>227</v>
      </c>
      <c r="G36" s="4" t="s">
        <v>228</v>
      </c>
      <c r="H36" s="4" t="s">
        <v>88</v>
      </c>
      <c r="I36" s="4" t="s">
        <v>42</v>
      </c>
      <c r="J36" s="4"/>
      <c r="K36" s="4"/>
      <c r="L36" s="4"/>
      <c r="M36" s="4" t="s">
        <v>229</v>
      </c>
    </row>
    <row r="37" customFormat="false" ht="23.85" hidden="false" customHeight="false" outlineLevel="0" collapsed="false">
      <c r="A37" s="4" t="n">
        <v>36</v>
      </c>
      <c r="B37" s="4" t="s">
        <v>230</v>
      </c>
      <c r="C37" s="4" t="s">
        <v>231</v>
      </c>
      <c r="D37" s="4" t="s">
        <v>232</v>
      </c>
      <c r="E37" s="4" t="s">
        <v>233</v>
      </c>
      <c r="F37" s="4" t="s">
        <v>234</v>
      </c>
      <c r="G37" s="4" t="s">
        <v>235</v>
      </c>
      <c r="H37" s="4" t="s">
        <v>88</v>
      </c>
      <c r="I37" s="4" t="s">
        <v>42</v>
      </c>
      <c r="J37" s="4"/>
      <c r="K37" s="4"/>
      <c r="L37" s="4"/>
      <c r="M37" s="4" t="s">
        <v>236</v>
      </c>
    </row>
    <row r="38" customFormat="false" ht="15" hidden="false" customHeight="false" outlineLevel="0" collapsed="false">
      <c r="A38" s="4" t="n">
        <v>37</v>
      </c>
      <c r="B38" s="4" t="s">
        <v>237</v>
      </c>
      <c r="C38" s="4" t="s">
        <v>238</v>
      </c>
      <c r="D38" s="4" t="s">
        <v>37</v>
      </c>
      <c r="E38" s="4" t="s">
        <v>239</v>
      </c>
      <c r="F38" s="4" t="s">
        <v>240</v>
      </c>
      <c r="G38" s="4" t="s">
        <v>241</v>
      </c>
      <c r="H38" s="4" t="s">
        <v>88</v>
      </c>
      <c r="I38" s="4" t="s">
        <v>42</v>
      </c>
      <c r="J38" s="4"/>
      <c r="K38" s="4"/>
      <c r="L38" s="4"/>
      <c r="M38" s="4" t="s">
        <v>242</v>
      </c>
    </row>
    <row r="39" customFormat="false" ht="15" hidden="false" customHeight="false" outlineLevel="0" collapsed="false">
      <c r="A39" s="4" t="n">
        <v>38</v>
      </c>
      <c r="B39" s="4" t="s">
        <v>243</v>
      </c>
      <c r="C39" s="4" t="s">
        <v>244</v>
      </c>
      <c r="D39" s="4" t="s">
        <v>37</v>
      </c>
      <c r="E39" s="4" t="s">
        <v>245</v>
      </c>
      <c r="F39" s="4" t="s">
        <v>246</v>
      </c>
      <c r="G39" s="4" t="s">
        <v>247</v>
      </c>
      <c r="H39" s="4" t="s">
        <v>88</v>
      </c>
      <c r="I39" s="4" t="s">
        <v>42</v>
      </c>
      <c r="J39" s="4"/>
      <c r="K39" s="4"/>
      <c r="L39" s="4"/>
      <c r="M39" s="4" t="s">
        <v>213</v>
      </c>
    </row>
  </sheetData>
  <autoFilter ref="A1:M39"/>
  <conditionalFormatting sqref="H2:H39">
    <cfRule type="cellIs" priority="2" operator="equal" aboveAverage="0" equalAverage="0" bottom="0" percent="0" rank="0" text="" dxfId="6">
      <formula>"P0"</formula>
    </cfRule>
    <cfRule type="cellIs" priority="3" operator="equal" aboveAverage="0" equalAverage="0" bottom="0" percent="0" rank="0" text="" dxfId="7">
      <formula>"P1"</formula>
    </cfRule>
    <cfRule type="cellIs" priority="4" operator="equal" aboveAverage="0" equalAverage="0" bottom="0" percent="0" rank="0" text="" dxfId="8">
      <formula>"P2"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</cols>
  <sheetData>
    <row r="1" customFormat="false" ht="24" hidden="false" customHeight="true" outlineLevel="0" collapsed="false">
      <c r="A1" s="5" t="s">
        <v>24</v>
      </c>
      <c r="B1" s="5" t="s">
        <v>248</v>
      </c>
      <c r="C1" s="5" t="s">
        <v>41</v>
      </c>
      <c r="D1" s="5" t="s">
        <v>66</v>
      </c>
      <c r="E1" s="5" t="s">
        <v>88</v>
      </c>
    </row>
    <row r="2" customFormat="false" ht="15" hidden="false" customHeight="false" outlineLevel="0" collapsed="false">
      <c r="A2" s="6" t="s">
        <v>36</v>
      </c>
      <c r="B2" s="6" t="n">
        <f aca="false">COUNTIF(Prospects!C:C,A2)</f>
        <v>9</v>
      </c>
      <c r="C2" s="6" t="n">
        <f aca="false">COUNTIFS(Prospects!C:C,A2,Prospects!H:H,"P0")</f>
        <v>3</v>
      </c>
      <c r="D2" s="6" t="n">
        <f aca="false">COUNTIFS(Prospects!C:C,A2,Prospects!H:H,"P1")</f>
        <v>4</v>
      </c>
      <c r="E2" s="6" t="n">
        <f aca="false">COUNTIFS(Prospects!C:C,A2,Prospects!H:H,"P2")</f>
        <v>2</v>
      </c>
    </row>
    <row r="3" customFormat="false" ht="15" hidden="false" customHeight="false" outlineLevel="0" collapsed="false">
      <c r="A3" s="6" t="s">
        <v>48</v>
      </c>
      <c r="B3" s="6" t="n">
        <f aca="false">COUNTIF(Prospects!C:C,A3)</f>
        <v>2</v>
      </c>
      <c r="C3" s="6" t="n">
        <f aca="false">COUNTIFS(Prospects!C:C,A3,Prospects!H:H,"P0")</f>
        <v>2</v>
      </c>
      <c r="D3" s="6" t="n">
        <f aca="false">COUNTIFS(Prospects!C:C,A3,Prospects!H:H,"P1")</f>
        <v>0</v>
      </c>
      <c r="E3" s="6" t="n">
        <f aca="false">COUNTIFS(Prospects!C:C,A3,Prospects!H:H,"P2")</f>
        <v>0</v>
      </c>
    </row>
    <row r="4" customFormat="false" ht="15" hidden="false" customHeight="false" outlineLevel="0" collapsed="false">
      <c r="A4" s="6" t="s">
        <v>74</v>
      </c>
      <c r="B4" s="6" t="n">
        <f aca="false">COUNTIF(Prospects!C:C,A4)</f>
        <v>1</v>
      </c>
      <c r="C4" s="6" t="n">
        <f aca="false">COUNTIFS(Prospects!C:C,A4,Prospects!H:H,"P0")</f>
        <v>0</v>
      </c>
      <c r="D4" s="6" t="n">
        <f aca="false">COUNTIFS(Prospects!C:C,A4,Prospects!H:H,"P1")</f>
        <v>1</v>
      </c>
      <c r="E4" s="6" t="n">
        <f aca="false">COUNTIFS(Prospects!C:C,A4,Prospects!H:H,"P2")</f>
        <v>0</v>
      </c>
    </row>
    <row r="5" customFormat="false" ht="15" hidden="false" customHeight="false" outlineLevel="0" collapsed="false">
      <c r="A5" s="6" t="s">
        <v>102</v>
      </c>
      <c r="B5" s="6" t="n">
        <f aca="false">COUNTIF(Prospects!C:C,A5)</f>
        <v>3</v>
      </c>
      <c r="C5" s="6" t="n">
        <f aca="false">COUNTIFS(Prospects!C:C,A5,Prospects!H:H,"P0")</f>
        <v>3</v>
      </c>
      <c r="D5" s="6" t="n">
        <f aca="false">COUNTIFS(Prospects!C:C,A5,Prospects!H:H,"P1")</f>
        <v>0</v>
      </c>
      <c r="E5" s="6" t="n">
        <f aca="false">COUNTIFS(Prospects!C:C,A5,Prospects!H:H,"P2")</f>
        <v>0</v>
      </c>
    </row>
    <row r="6" customFormat="false" ht="15" hidden="false" customHeight="false" outlineLevel="0" collapsed="false">
      <c r="A6" s="6" t="s">
        <v>118</v>
      </c>
      <c r="B6" s="6" t="n">
        <f aca="false">COUNTIF(Prospects!C:C,A6)</f>
        <v>1</v>
      </c>
      <c r="C6" s="6" t="n">
        <f aca="false">COUNTIFS(Prospects!C:C,A6,Prospects!H:H,"P0")</f>
        <v>0</v>
      </c>
      <c r="D6" s="6" t="n">
        <f aca="false">COUNTIFS(Prospects!C:C,A6,Prospects!H:H,"P1")</f>
        <v>1</v>
      </c>
      <c r="E6" s="6" t="n">
        <f aca="false">COUNTIFS(Prospects!C:C,A6,Prospects!H:H,"P2")</f>
        <v>0</v>
      </c>
    </row>
    <row r="7" customFormat="false" ht="15" hidden="false" customHeight="false" outlineLevel="0" collapsed="false">
      <c r="A7" s="6" t="s">
        <v>124</v>
      </c>
      <c r="B7" s="6" t="n">
        <f aca="false">COUNTIF(Prospects!C:C,A7)</f>
        <v>1</v>
      </c>
      <c r="C7" s="6" t="n">
        <f aca="false">COUNTIFS(Prospects!C:C,A7,Prospects!H:H,"P0")</f>
        <v>0</v>
      </c>
      <c r="D7" s="6" t="n">
        <f aca="false">COUNTIFS(Prospects!C:C,A7,Prospects!H:H,"P1")</f>
        <v>0</v>
      </c>
      <c r="E7" s="6" t="n">
        <f aca="false">COUNTIFS(Prospects!C:C,A7,Prospects!H:H,"P2")</f>
        <v>1</v>
      </c>
    </row>
    <row r="8" customFormat="false" ht="15" hidden="false" customHeight="false" outlineLevel="0" collapsed="false">
      <c r="A8" s="6" t="s">
        <v>130</v>
      </c>
      <c r="B8" s="6" t="n">
        <f aca="false">COUNTIF(Prospects!C:C,A8)</f>
        <v>1</v>
      </c>
      <c r="C8" s="6" t="n">
        <f aca="false">COUNTIFS(Prospects!C:C,A8,Prospects!H:H,"P0")</f>
        <v>1</v>
      </c>
      <c r="D8" s="6" t="n">
        <f aca="false">COUNTIFS(Prospects!C:C,A8,Prospects!H:H,"P1")</f>
        <v>0</v>
      </c>
      <c r="E8" s="6" t="n">
        <f aca="false">COUNTIFS(Prospects!C:C,A8,Prospects!H:H,"P2")</f>
        <v>0</v>
      </c>
    </row>
    <row r="9" customFormat="false" ht="15" hidden="false" customHeight="false" outlineLevel="0" collapsed="false">
      <c r="A9" s="6" t="s">
        <v>136</v>
      </c>
      <c r="B9" s="6" t="n">
        <f aca="false">COUNTIF(Prospects!C:C,A9)</f>
        <v>1</v>
      </c>
      <c r="C9" s="6" t="n">
        <f aca="false">COUNTIFS(Prospects!C:C,A9,Prospects!H:H,"P0")</f>
        <v>0</v>
      </c>
      <c r="D9" s="6" t="n">
        <f aca="false">COUNTIFS(Prospects!C:C,A9,Prospects!H:H,"P1")</f>
        <v>1</v>
      </c>
      <c r="E9" s="6" t="n">
        <f aca="false">COUNTIFS(Prospects!C:C,A9,Prospects!H:H,"P2")</f>
        <v>0</v>
      </c>
    </row>
    <row r="10" customFormat="false" ht="15" hidden="false" customHeight="false" outlineLevel="0" collapsed="false">
      <c r="A10" s="6" t="s">
        <v>141</v>
      </c>
      <c r="B10" s="6" t="n">
        <f aca="false">COUNTIF(Prospects!C:C,A10)</f>
        <v>1</v>
      </c>
      <c r="C10" s="6" t="n">
        <f aca="false">COUNTIFS(Prospects!C:C,A10,Prospects!H:H,"P0")</f>
        <v>1</v>
      </c>
      <c r="D10" s="6" t="n">
        <f aca="false">COUNTIFS(Prospects!C:C,A10,Prospects!H:H,"P1")</f>
        <v>0</v>
      </c>
      <c r="E10" s="6" t="n">
        <f aca="false">COUNTIFS(Prospects!C:C,A10,Prospects!H:H,"P2")</f>
        <v>0</v>
      </c>
    </row>
    <row r="11" customFormat="false" ht="15" hidden="false" customHeight="false" outlineLevel="0" collapsed="false">
      <c r="A11" s="6" t="s">
        <v>147</v>
      </c>
      <c r="B11" s="6" t="n">
        <f aca="false">COUNTIF(Prospects!C:C,A11)</f>
        <v>1</v>
      </c>
      <c r="C11" s="6" t="n">
        <f aca="false">COUNTIFS(Prospects!C:C,A11,Prospects!H:H,"P0")</f>
        <v>0</v>
      </c>
      <c r="D11" s="6" t="n">
        <f aca="false">COUNTIFS(Prospects!C:C,A11,Prospects!H:H,"P1")</f>
        <v>0</v>
      </c>
      <c r="E11" s="6" t="n">
        <f aca="false">COUNTIFS(Prospects!C:C,A11,Prospects!H:H,"P2")</f>
        <v>1</v>
      </c>
    </row>
    <row r="12" customFormat="false" ht="15" hidden="false" customHeight="false" outlineLevel="0" collapsed="false">
      <c r="A12" s="6" t="s">
        <v>151</v>
      </c>
      <c r="B12" s="6" t="n">
        <f aca="false">COUNTIF(Prospects!C:C,A12)</f>
        <v>1</v>
      </c>
      <c r="C12" s="6" t="n">
        <f aca="false">COUNTIFS(Prospects!C:C,A12,Prospects!H:H,"P0")</f>
        <v>0</v>
      </c>
      <c r="D12" s="6" t="n">
        <f aca="false">COUNTIFS(Prospects!C:C,A12,Prospects!H:H,"P1")</f>
        <v>0</v>
      </c>
      <c r="E12" s="6" t="n">
        <f aca="false">COUNTIFS(Prospects!C:C,A12,Prospects!H:H,"P2")</f>
        <v>1</v>
      </c>
    </row>
    <row r="13" customFormat="false" ht="15" hidden="false" customHeight="false" outlineLevel="0" collapsed="false">
      <c r="A13" s="6" t="s">
        <v>156</v>
      </c>
      <c r="B13" s="6" t="n">
        <f aca="false">COUNTIF(Prospects!C:C,A13)</f>
        <v>1</v>
      </c>
      <c r="C13" s="6" t="n">
        <f aca="false">COUNTIFS(Prospects!C:C,A13,Prospects!H:H,"P0")</f>
        <v>0</v>
      </c>
      <c r="D13" s="6" t="n">
        <f aca="false">COUNTIFS(Prospects!C:C,A13,Prospects!H:H,"P1")</f>
        <v>1</v>
      </c>
      <c r="E13" s="6" t="n">
        <f aca="false">COUNTIFS(Prospects!C:C,A13,Prospects!H:H,"P2")</f>
        <v>0</v>
      </c>
    </row>
    <row r="14" customFormat="false" ht="15" hidden="false" customHeight="false" outlineLevel="0" collapsed="false">
      <c r="A14" s="6" t="s">
        <v>162</v>
      </c>
      <c r="B14" s="6" t="n">
        <f aca="false">COUNTIF(Prospects!C:C,A14)</f>
        <v>1</v>
      </c>
      <c r="C14" s="6" t="n">
        <f aca="false">COUNTIFS(Prospects!C:C,A14,Prospects!H:H,"P0")</f>
        <v>0</v>
      </c>
      <c r="D14" s="6" t="n">
        <f aca="false">COUNTIFS(Prospects!C:C,A14,Prospects!H:H,"P1")</f>
        <v>0</v>
      </c>
      <c r="E14" s="6" t="n">
        <f aca="false">COUNTIFS(Prospects!C:C,A14,Prospects!H:H,"P2")</f>
        <v>1</v>
      </c>
    </row>
    <row r="15" customFormat="false" ht="15" hidden="false" customHeight="false" outlineLevel="0" collapsed="false">
      <c r="A15" s="6" t="s">
        <v>168</v>
      </c>
      <c r="B15" s="6" t="n">
        <f aca="false">COUNTIF(Prospects!C:C,A15)</f>
        <v>1</v>
      </c>
      <c r="C15" s="6" t="n">
        <f aca="false">COUNTIFS(Prospects!C:C,A15,Prospects!H:H,"P0")</f>
        <v>0</v>
      </c>
      <c r="D15" s="6" t="n">
        <f aca="false">COUNTIFS(Prospects!C:C,A15,Prospects!H:H,"P1")</f>
        <v>1</v>
      </c>
      <c r="E15" s="6" t="n">
        <f aca="false">COUNTIFS(Prospects!C:C,A15,Prospects!H:H,"P2")</f>
        <v>0</v>
      </c>
    </row>
    <row r="16" customFormat="false" ht="15" hidden="false" customHeight="false" outlineLevel="0" collapsed="false">
      <c r="A16" s="6" t="s">
        <v>174</v>
      </c>
      <c r="B16" s="6" t="n">
        <f aca="false">COUNTIF(Prospects!C:C,A16)</f>
        <v>1</v>
      </c>
      <c r="C16" s="6" t="n">
        <f aca="false">COUNTIFS(Prospects!C:C,A16,Prospects!H:H,"P0")</f>
        <v>0</v>
      </c>
      <c r="D16" s="6" t="n">
        <f aca="false">COUNTIFS(Prospects!C:C,A16,Prospects!H:H,"P1")</f>
        <v>0</v>
      </c>
      <c r="E16" s="6" t="n">
        <f aca="false">COUNTIFS(Prospects!C:C,A16,Prospects!H:H,"P2")</f>
        <v>1</v>
      </c>
    </row>
    <row r="17" customFormat="false" ht="15" hidden="false" customHeight="false" outlineLevel="0" collapsed="false">
      <c r="A17" s="6" t="s">
        <v>180</v>
      </c>
      <c r="B17" s="6" t="n">
        <f aca="false">COUNTIF(Prospects!C:C,A17)</f>
        <v>1</v>
      </c>
      <c r="C17" s="6" t="n">
        <f aca="false">COUNTIFS(Prospects!C:C,A17,Prospects!H:H,"P0")</f>
        <v>0</v>
      </c>
      <c r="D17" s="6" t="n">
        <f aca="false">COUNTIFS(Prospects!C:C,A17,Prospects!H:H,"P1")</f>
        <v>1</v>
      </c>
      <c r="E17" s="6" t="n">
        <f aca="false">COUNTIFS(Prospects!C:C,A17,Prospects!H:H,"P2")</f>
        <v>0</v>
      </c>
    </row>
    <row r="18" customFormat="false" ht="15" hidden="false" customHeight="false" outlineLevel="0" collapsed="false">
      <c r="A18" s="6" t="s">
        <v>186</v>
      </c>
      <c r="B18" s="6" t="n">
        <f aca="false">COUNTIF(Prospects!C:C,A18)</f>
        <v>2</v>
      </c>
      <c r="C18" s="6" t="n">
        <f aca="false">COUNTIFS(Prospects!C:C,A18,Prospects!H:H,"P0")</f>
        <v>0</v>
      </c>
      <c r="D18" s="6" t="n">
        <f aca="false">COUNTIFS(Prospects!C:C,A18,Prospects!H:H,"P1")</f>
        <v>0</v>
      </c>
      <c r="E18" s="6" t="n">
        <f aca="false">COUNTIFS(Prospects!C:C,A18,Prospects!H:H,"P2")</f>
        <v>2</v>
      </c>
    </row>
    <row r="19" customFormat="false" ht="15" hidden="false" customHeight="false" outlineLevel="0" collapsed="false">
      <c r="A19" s="6" t="s">
        <v>192</v>
      </c>
      <c r="B19" s="6" t="n">
        <f aca="false">COUNTIF(Prospects!C:C,A19)</f>
        <v>1</v>
      </c>
      <c r="C19" s="6" t="n">
        <f aca="false">COUNTIFS(Prospects!C:C,A19,Prospects!H:H,"P0")</f>
        <v>0</v>
      </c>
      <c r="D19" s="6" t="n">
        <f aca="false">COUNTIFS(Prospects!C:C,A19,Prospects!H:H,"P1")</f>
        <v>0</v>
      </c>
      <c r="E19" s="6" t="n">
        <f aca="false">COUNTIFS(Prospects!C:C,A19,Prospects!H:H,"P2")</f>
        <v>1</v>
      </c>
    </row>
    <row r="20" customFormat="false" ht="15" hidden="false" customHeight="false" outlineLevel="0" collapsed="false">
      <c r="A20" s="6" t="s">
        <v>198</v>
      </c>
      <c r="B20" s="6" t="n">
        <f aca="false">COUNTIF(Prospects!C:C,A20)</f>
        <v>1</v>
      </c>
      <c r="C20" s="6" t="n">
        <f aca="false">COUNTIFS(Prospects!C:C,A20,Prospects!H:H,"P0")</f>
        <v>0</v>
      </c>
      <c r="D20" s="6" t="n">
        <f aca="false">COUNTIFS(Prospects!C:C,A20,Prospects!H:H,"P1")</f>
        <v>1</v>
      </c>
      <c r="E20" s="6" t="n">
        <f aca="false">COUNTIFS(Prospects!C:C,A20,Prospects!H:H,"P2")</f>
        <v>0</v>
      </c>
    </row>
    <row r="21" customFormat="false" ht="15" hidden="false" customHeight="false" outlineLevel="0" collapsed="false">
      <c r="A21" s="6" t="s">
        <v>203</v>
      </c>
      <c r="B21" s="6" t="n">
        <f aca="false">COUNTIF(Prospects!C:C,A21)</f>
        <v>1</v>
      </c>
      <c r="C21" s="6" t="n">
        <f aca="false">COUNTIFS(Prospects!C:C,A21,Prospects!H:H,"P0")</f>
        <v>0</v>
      </c>
      <c r="D21" s="6" t="n">
        <f aca="false">COUNTIFS(Prospects!C:C,A21,Prospects!H:H,"P1")</f>
        <v>0</v>
      </c>
      <c r="E21" s="6" t="n">
        <f aca="false">COUNTIFS(Prospects!C:C,A21,Prospects!H:H,"P2")</f>
        <v>1</v>
      </c>
    </row>
    <row r="22" customFormat="false" ht="15" hidden="false" customHeight="false" outlineLevel="0" collapsed="false">
      <c r="A22" s="6" t="s">
        <v>209</v>
      </c>
      <c r="B22" s="6" t="n">
        <f aca="false">COUNTIF(Prospects!C:C,A22)</f>
        <v>2</v>
      </c>
      <c r="C22" s="6" t="n">
        <f aca="false">COUNTIFS(Prospects!C:C,A22,Prospects!H:H,"P0")</f>
        <v>0</v>
      </c>
      <c r="D22" s="6" t="n">
        <f aca="false">COUNTIFS(Prospects!C:C,A22,Prospects!H:H,"P1")</f>
        <v>0</v>
      </c>
      <c r="E22" s="6" t="n">
        <f aca="false">COUNTIFS(Prospects!C:C,A22,Prospects!H:H,"P2")</f>
        <v>2</v>
      </c>
    </row>
    <row r="23" customFormat="false" ht="15" hidden="false" customHeight="false" outlineLevel="0" collapsed="false">
      <c r="A23" s="6" t="s">
        <v>224</v>
      </c>
      <c r="B23" s="6" t="n">
        <f aca="false">COUNTIF(Prospects!C:C,A23)</f>
        <v>1</v>
      </c>
      <c r="C23" s="6" t="n">
        <f aca="false">COUNTIFS(Prospects!C:C,A23,Prospects!H:H,"P0")</f>
        <v>0</v>
      </c>
      <c r="D23" s="6" t="n">
        <f aca="false">COUNTIFS(Prospects!C:C,A23,Prospects!H:H,"P1")</f>
        <v>0</v>
      </c>
      <c r="E23" s="6" t="n">
        <f aca="false">COUNTIFS(Prospects!C:C,A23,Prospects!H:H,"P2")</f>
        <v>1</v>
      </c>
    </row>
    <row r="24" customFormat="false" ht="15" hidden="false" customHeight="false" outlineLevel="0" collapsed="false">
      <c r="A24" s="6" t="s">
        <v>231</v>
      </c>
      <c r="B24" s="6" t="n">
        <f aca="false">COUNTIF(Prospects!C:C,A24)</f>
        <v>1</v>
      </c>
      <c r="C24" s="6" t="n">
        <f aca="false">COUNTIFS(Prospects!C:C,A24,Prospects!H:H,"P0")</f>
        <v>0</v>
      </c>
      <c r="D24" s="6" t="n">
        <f aca="false">COUNTIFS(Prospects!C:C,A24,Prospects!H:H,"P1")</f>
        <v>0</v>
      </c>
      <c r="E24" s="6" t="n">
        <f aca="false">COUNTIFS(Prospects!C:C,A24,Prospects!H:H,"P2")</f>
        <v>1</v>
      </c>
    </row>
    <row r="25" customFormat="false" ht="15" hidden="false" customHeight="false" outlineLevel="0" collapsed="false">
      <c r="A25" s="6" t="s">
        <v>238</v>
      </c>
      <c r="B25" s="6" t="n">
        <f aca="false">COUNTIF(Prospects!C:C,A25)</f>
        <v>1</v>
      </c>
      <c r="C25" s="6" t="n">
        <f aca="false">COUNTIFS(Prospects!C:C,A25,Prospects!H:H,"P0")</f>
        <v>0</v>
      </c>
      <c r="D25" s="6" t="n">
        <f aca="false">COUNTIFS(Prospects!C:C,A25,Prospects!H:H,"P1")</f>
        <v>0</v>
      </c>
      <c r="E25" s="6" t="n">
        <f aca="false">COUNTIFS(Prospects!C:C,A25,Prospects!H:H,"P2")</f>
        <v>1</v>
      </c>
    </row>
    <row r="26" customFormat="false" ht="15" hidden="false" customHeight="false" outlineLevel="0" collapsed="false">
      <c r="A26" s="6" t="s">
        <v>244</v>
      </c>
      <c r="B26" s="6" t="n">
        <f aca="false">COUNTIF(Prospects!C:C,A26)</f>
        <v>1</v>
      </c>
      <c r="C26" s="6" t="n">
        <f aca="false">COUNTIFS(Prospects!C:C,A26,Prospects!H:H,"P0")</f>
        <v>0</v>
      </c>
      <c r="D26" s="6" t="n">
        <f aca="false">COUNTIFS(Prospects!C:C,A26,Prospects!H:H,"P1")</f>
        <v>0</v>
      </c>
      <c r="E26" s="6" t="n">
        <f aca="false">COUNTIFS(Prospects!C:C,A26,Prospects!H:H,"P2")</f>
        <v>1</v>
      </c>
    </row>
    <row r="27" customFormat="false" ht="15" hidden="false" customHeight="false" outlineLevel="0" collapsed="false">
      <c r="A27" s="7" t="s">
        <v>249</v>
      </c>
      <c r="B27" s="7" t="n">
        <f aca="false">SUM(B2:B26)</f>
        <v>38</v>
      </c>
      <c r="C27" s="7" t="n">
        <f aca="false">SUM(C2:C26)</f>
        <v>10</v>
      </c>
      <c r="D27" s="7" t="n">
        <f aca="false">SUM(D2:D26)</f>
        <v>11</v>
      </c>
      <c r="E27" s="7" t="n">
        <f aca="false">SUM(E2:E26)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24" hidden="false" customHeight="true" outlineLevel="0" collapsed="false">
      <c r="A1" s="5" t="s">
        <v>250</v>
      </c>
      <c r="B1" s="5" t="s">
        <v>23</v>
      </c>
      <c r="C1" s="5" t="s">
        <v>251</v>
      </c>
      <c r="D1" s="5" t="s">
        <v>252</v>
      </c>
      <c r="E1" s="5" t="s">
        <v>253</v>
      </c>
      <c r="F1" s="5" t="s">
        <v>254</v>
      </c>
      <c r="G1" s="5" t="s">
        <v>255</v>
      </c>
      <c r="H1" s="5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2026-05-02T08:41:34Z</dcterms:created>
  <dc:creator>openpyxl</dc:creator>
  <dc:description/>
  <dc:language>en-US</dc:language>
  <cp:lastModifiedBy/>
  <dcterms:modified xsi:type="dcterms:W3CDTF">2026-05-02T08:41:34Z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